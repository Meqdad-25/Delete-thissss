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ubric (students)" sheetId="1" state="visible" r:id="rId1"/>
    <sheet xmlns:r="http://schemas.openxmlformats.org/officeDocument/2006/relationships" name="Marking" sheetId="2" state="visible" r:id="rId2"/>
    <sheet xmlns:r="http://schemas.openxmlformats.org/officeDocument/2006/relationships" name="_config" sheetId="3" state="hidden" r:id="rId3"/>
  </sheets>
  <definedNames/>
  <calcPr calcId="124519" fullCalcOnLoad="1"/>
</workbook>
</file>

<file path=xl/styles.xml><?xml version="1.0" encoding="utf-8"?>
<styleSheet xmlns="http://schemas.openxmlformats.org/spreadsheetml/2006/main">
  <numFmts count="1">
    <numFmt numFmtId="164" formatCode="0.0"/>
  </numFmts>
  <fonts count="11">
    <font>
      <name val="Calibri"/>
      <family val="2"/>
      <color theme="1"/>
      <sz val="11"/>
      <scheme val="minor"/>
    </font>
    <font>
      <name val="Arial"/>
      <b val="1"/>
      <color rgb="00FFFFFF"/>
      <sz val="14"/>
    </font>
    <font>
      <name val="Arial"/>
      <i val="1"/>
      <color rgb="00000000"/>
      <sz val="9"/>
    </font>
    <font>
      <name val="Arial"/>
      <b val="1"/>
      <color rgb="00FFFFFF"/>
      <sz val="11"/>
    </font>
    <font>
      <name val="Arial"/>
      <b val="1"/>
      <color rgb="00000000"/>
      <sz val="10"/>
    </font>
    <font>
      <name val="Arial"/>
      <color rgb="00000000"/>
      <sz val="10"/>
    </font>
    <font>
      <name val="Arial"/>
      <color rgb="00000000"/>
      <sz val="9"/>
    </font>
    <font>
      <name val="Arial"/>
      <b val="1"/>
      <color rgb="001F3864"/>
      <sz val="11"/>
    </font>
    <font>
      <name val="Arial"/>
      <b val="1"/>
      <color rgb="00FFFFFF"/>
      <sz val="13"/>
    </font>
    <font>
      <name val="Arial"/>
      <sz val="10"/>
    </font>
    <font>
      <name val="Arial"/>
      <b val="1"/>
    </font>
  </fonts>
  <fills count="11">
    <fill>
      <patternFill/>
    </fill>
    <fill>
      <patternFill patternType="gray125"/>
    </fill>
    <fill>
      <patternFill patternType="solid">
        <fgColor rgb="001F3864"/>
      </patternFill>
    </fill>
    <fill>
      <patternFill patternType="solid">
        <fgColor rgb="00EAF1F8"/>
      </patternFill>
    </fill>
    <fill>
      <patternFill patternType="solid">
        <fgColor rgb="002E75B6"/>
      </patternFill>
    </fill>
    <fill>
      <patternFill patternType="solid">
        <fgColor rgb="00127D7A"/>
      </patternFill>
    </fill>
    <fill>
      <patternFill patternType="solid">
        <fgColor rgb="00FCE9D6"/>
      </patternFill>
    </fill>
    <fill>
      <patternFill patternType="solid">
        <fgColor rgb="00FFF2CC"/>
      </patternFill>
    </fill>
    <fill>
      <patternFill patternType="solid">
        <fgColor rgb="00FFFFFF"/>
      </patternFill>
    </fill>
    <fill>
      <patternFill patternType="solid">
        <fgColor rgb="00DCE6F2"/>
      </patternFill>
    </fill>
    <fill>
      <patternFill patternType="solid">
        <fgColor rgb="00E2EFDA"/>
      </patternFill>
    </fill>
  </fills>
  <borders count="11">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style="thin">
        <color rgb="00BFBFBF"/>
      </right>
      <top style="thin">
        <color rgb="00BFBFBF"/>
      </top>
      <bottom style="thin">
        <color rgb="00BFBFBF"/>
      </bottom>
      <diagonal/>
    </border>
    <border>
      <left/>
      <right/>
      <top style="thin">
        <color rgb="00BFBFBF"/>
      </top>
      <bottom style="thin">
        <color rgb="00BFBFBF"/>
      </bottom>
      <diagonal/>
    </border>
    <border>
      <left style="thin">
        <color rgb="00BFBFBF"/>
      </left>
      <right/>
      <top/>
      <bottom/>
      <diagonal/>
    </border>
    <border>
      <left/>
      <right style="thin">
        <color rgb="00BFBFBF"/>
      </right>
      <top/>
      <bottom/>
      <diagonal/>
    </border>
    <border>
      <left style="thin">
        <color rgb="00BFBFBF"/>
      </left>
      <right/>
      <top/>
      <bottom style="thin">
        <color rgb="00BFBFBF"/>
      </bottom>
      <diagonal/>
    </border>
    <border>
      <left/>
      <right/>
      <top/>
      <bottom style="thin">
        <color rgb="00BFBFBF"/>
      </bottom>
      <diagonal/>
    </border>
    <border>
      <left/>
      <right style="thin">
        <color rgb="00BFBFBF"/>
      </right>
      <top/>
      <bottom style="thin">
        <color rgb="00BFBFBF"/>
      </bottom>
      <diagonal/>
    </border>
  </borders>
  <cellStyleXfs count="1">
    <xf numFmtId="0" fontId="0" fillId="0" borderId="0"/>
  </cellStyleXfs>
  <cellXfs count="38">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left" vertical="top" wrapText="1"/>
    </xf>
    <xf numFmtId="0" fontId="3" fillId="4" borderId="1" applyAlignment="1" pivotButton="0" quotePrefix="0" xfId="0">
      <alignment horizontal="left" vertical="center" wrapText="1"/>
    </xf>
    <xf numFmtId="0" fontId="4" fillId="0" borderId="1" applyAlignment="1" pivotButton="0" quotePrefix="0" xfId="0">
      <alignment horizontal="center" vertical="top" wrapText="1"/>
    </xf>
    <xf numFmtId="0" fontId="4" fillId="0" borderId="1" applyAlignment="1" pivotButton="0" quotePrefix="0" xfId="0">
      <alignment horizontal="left" vertical="top" wrapText="1"/>
    </xf>
    <xf numFmtId="0" fontId="5" fillId="0" borderId="1" applyAlignment="1" pivotButton="0" quotePrefix="0" xfId="0">
      <alignment horizontal="left" vertical="top" wrapText="1"/>
    </xf>
    <xf numFmtId="0" fontId="3" fillId="5" borderId="1" applyAlignment="1" pivotButton="0" quotePrefix="0" xfId="0">
      <alignment horizontal="left" vertical="center" wrapText="1"/>
    </xf>
    <xf numFmtId="0" fontId="6" fillId="3" borderId="1" applyAlignment="1" pivotButton="0" quotePrefix="0" xfId="0">
      <alignment horizontal="left" vertical="top" wrapText="1"/>
    </xf>
    <xf numFmtId="0" fontId="7" fillId="6" borderId="1" applyAlignment="1" pivotButton="0" quotePrefix="0" xfId="0">
      <alignment horizontal="left" vertical="center" wrapText="1"/>
    </xf>
    <xf numFmtId="0" fontId="6" fillId="6" borderId="1" applyAlignment="1" pivotButton="0" quotePrefix="0" xfId="0">
      <alignment horizontal="left" vertical="top" wrapText="1"/>
    </xf>
    <xf numFmtId="0" fontId="8" fillId="2" borderId="1" applyAlignment="1" pivotButton="0" quotePrefix="0" xfId="0">
      <alignment horizontal="center" vertical="center" wrapText="1"/>
    </xf>
    <xf numFmtId="0" fontId="5" fillId="7" borderId="1" applyAlignment="1" pivotButton="0" quotePrefix="0" xfId="0">
      <alignment horizontal="left" vertical="top" wrapText="1"/>
    </xf>
    <xf numFmtId="0" fontId="0" fillId="0" borderId="4" pivotButton="0" quotePrefix="0" xfId="0"/>
    <xf numFmtId="0" fontId="3" fillId="5" borderId="1" applyAlignment="1" pivotButton="0" quotePrefix="0" xfId="0">
      <alignment horizontal="center" vertical="center" wrapText="1"/>
    </xf>
    <xf numFmtId="1" fontId="5" fillId="0" borderId="1" applyAlignment="1" pivotButton="0" quotePrefix="0" xfId="0">
      <alignment horizontal="center" vertical="top" wrapText="1"/>
    </xf>
    <xf numFmtId="164" fontId="5" fillId="7" borderId="1" applyAlignment="1" pivotButton="0" quotePrefix="0" xfId="0">
      <alignment horizontal="center" vertical="top" wrapText="1"/>
    </xf>
    <xf numFmtId="164" fontId="9" fillId="0" borderId="1" applyAlignment="1" pivotButton="0" quotePrefix="0" xfId="0">
      <alignment horizontal="center"/>
    </xf>
    <xf numFmtId="0" fontId="5" fillId="8" borderId="1" applyAlignment="1" pivotButton="0" quotePrefix="0" xfId="0">
      <alignment horizontal="left" vertical="top" wrapText="1"/>
    </xf>
    <xf numFmtId="0" fontId="4" fillId="9" borderId="1" applyAlignment="1" pivotButton="0" quotePrefix="0" xfId="0">
      <alignment horizontal="left" vertical="top" wrapText="1"/>
    </xf>
    <xf numFmtId="1" fontId="10" fillId="9" borderId="1" applyAlignment="1" pivotButton="0" quotePrefix="0" xfId="0">
      <alignment horizontal="center"/>
    </xf>
    <xf numFmtId="0" fontId="5" fillId="9" borderId="1" applyAlignment="1" pivotButton="0" quotePrefix="0" xfId="0">
      <alignment horizontal="left" vertical="top" wrapText="1"/>
    </xf>
    <xf numFmtId="164" fontId="10" fillId="9" borderId="1" applyAlignment="1" pivotButton="0" quotePrefix="0" xfId="0">
      <alignment horizontal="center"/>
    </xf>
    <xf numFmtId="0" fontId="2" fillId="9" borderId="1" applyAlignment="1" pivotButton="0" quotePrefix="0" xfId="0">
      <alignment horizontal="left" vertical="top" wrapText="1"/>
    </xf>
    <xf numFmtId="0" fontId="4" fillId="10" borderId="1" applyAlignment="1" pivotButton="0" quotePrefix="0" xfId="0">
      <alignment horizontal="left" vertical="top" wrapText="1"/>
    </xf>
    <xf numFmtId="164" fontId="10" fillId="10" borderId="1" applyAlignment="1" pivotButton="0" quotePrefix="0" xfId="0">
      <alignment horizontal="center"/>
    </xf>
    <xf numFmtId="0" fontId="2" fillId="10" borderId="1" applyAlignment="1" pivotButton="0" quotePrefix="0" xfId="0">
      <alignment horizontal="left" vertical="top" wrapText="1"/>
    </xf>
    <xf numFmtId="0" fontId="7" fillId="9" borderId="1" applyAlignment="1" pivotButton="0" quotePrefix="0" xfId="0">
      <alignment horizontal="left" vertical="center" wrapText="1"/>
    </xf>
    <xf numFmtId="0" fontId="0" fillId="0" borderId="5" pivotButton="0" quotePrefix="0" xfId="0"/>
    <xf numFmtId="0" fontId="5" fillId="7" borderId="1" applyAlignment="1" pivotButton="0" quotePrefix="0" xfId="0">
      <alignment horizontal="center" vertical="top" wrapText="1"/>
    </xf>
    <xf numFmtId="0" fontId="0" fillId="0" borderId="2" pivotButton="0" quotePrefix="0" xfId="0"/>
    <xf numFmtId="0" fontId="0" fillId="0" borderId="3" pivotButton="0" quotePrefix="0" xfId="0"/>
    <xf numFmtId="0" fontId="0" fillId="0" borderId="6" pivotButton="0" quotePrefix="0" xfId="0"/>
    <xf numFmtId="0" fontId="0" fillId="0" borderId="7" pivotButton="0" quotePrefix="0" xfId="0"/>
    <xf numFmtId="0" fontId="0" fillId="0" borderId="8" pivotButton="0" quotePrefix="0" xfId="0"/>
    <xf numFmtId="0" fontId="0" fillId="0" borderId="9" pivotButton="0" quotePrefix="0" xfId="0"/>
    <xf numFmtId="0" fontId="0" fillId="0" borderId="10" pivotButton="0" quotePrefix="0" xfId="0"/>
    <xf numFmtId="0" fontId="5" fillId="8"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F28"/>
  <sheetViews>
    <sheetView showGridLines="0" workbookViewId="0">
      <selection activeCell="A1" sqref="A1"/>
    </sheetView>
  </sheetViews>
  <sheetFormatPr baseColWidth="8" defaultRowHeight="15"/>
  <cols>
    <col width="6" customWidth="1" min="1" max="1"/>
    <col width="30" customWidth="1" min="2" max="2"/>
    <col width="10" customWidth="1" min="3" max="3"/>
    <col width="38" customWidth="1" min="4" max="4"/>
    <col width="38" customWidth="1" min="5" max="5"/>
    <col width="38" customWidth="1" min="6" max="6"/>
  </cols>
  <sheetData>
    <row r="1">
      <c r="A1" s="1" t="inlineStr">
        <is>
          <t>IT8204 Blockchain and Cryptocurrency - Week 3: Crypto Market Structure and a Self-Custody Wallet Lab  |  Designing a Custody Policy, and the Mining Energy and Environment Debate</t>
        </is>
      </c>
      <c r="B1" s="28" t="n"/>
      <c r="C1" s="28" t="n"/>
      <c r="D1" s="28" t="n"/>
      <c r="E1" s="28" t="n"/>
      <c r="F1" s="13" t="n"/>
    </row>
    <row r="2" ht="48" customHeight="1">
      <c r="A2" s="2" t="inlineStr">
        <is>
          <t>Marking rubric for your worksheet. You are scored 0-5 on each criterion (decimals allowed). Mark % = score x 20; your overall mark is the weighted average of the criteria, shown as a score out of 100. This worksheet contributes its weighted share to the A2 coursework total; the course result is decided on the overall course mark.</t>
        </is>
      </c>
      <c r="B2" s="28" t="n"/>
      <c r="C2" s="28" t="n"/>
      <c r="D2" s="28" t="n"/>
      <c r="E2" s="28" t="n"/>
      <c r="F2" s="13" t="n"/>
    </row>
    <row r="3"/>
    <row r="4">
      <c r="A4" s="3" t="inlineStr">
        <is>
          <t>Score</t>
        </is>
      </c>
      <c r="B4" s="3" t="inlineStr">
        <is>
          <t>Level</t>
        </is>
      </c>
      <c r="C4" s="13" t="n"/>
      <c r="D4" s="3" t="inlineStr">
        <is>
          <t>What it means</t>
        </is>
      </c>
      <c r="E4" s="3" t="inlineStr">
        <is>
          <t xml:space="preserve"> </t>
        </is>
      </c>
      <c r="F4" s="3" t="inlineStr">
        <is>
          <t xml:space="preserve"> </t>
        </is>
      </c>
    </row>
    <row r="5">
      <c r="A5" s="4" t="inlineStr">
        <is>
          <t>0</t>
        </is>
      </c>
      <c r="B5" s="5" t="inlineStr">
        <is>
          <t>Missing</t>
        </is>
      </c>
      <c r="C5" s="13" t="n"/>
      <c r="D5" s="6" t="inlineStr">
        <is>
          <t>No evidence / not attempted.</t>
        </is>
      </c>
      <c r="E5" s="28" t="n"/>
      <c r="F5" s="13" t="n"/>
    </row>
    <row r="6">
      <c r="A6" s="4" t="inlineStr">
        <is>
          <t>1</t>
        </is>
      </c>
      <c r="B6" s="5" t="inlineStr">
        <is>
          <t>Limited</t>
        </is>
      </c>
      <c r="C6" s="13" t="n"/>
      <c r="D6" s="6" t="inlineStr">
        <is>
          <t>Attempted but cannot give a basic explanation; mostly incorrect.</t>
        </is>
      </c>
      <c r="E6" s="28" t="n"/>
      <c r="F6" s="13" t="n"/>
    </row>
    <row r="7">
      <c r="A7" s="4" t="inlineStr">
        <is>
          <t>2</t>
        </is>
      </c>
      <c r="B7" s="5" t="inlineStr">
        <is>
          <t>Basic</t>
        </is>
      </c>
      <c r="C7" s="13" t="n"/>
      <c r="D7" s="6" t="inlineStr">
        <is>
          <t>Below expectation; major gaps.</t>
        </is>
      </c>
      <c r="E7" s="28" t="n"/>
      <c r="F7" s="13" t="n"/>
    </row>
    <row r="8">
      <c r="A8" s="4" t="inlineStr">
        <is>
          <t>3</t>
        </is>
      </c>
      <c r="B8" s="5" t="inlineStr">
        <is>
          <t>Reasonable</t>
        </is>
      </c>
      <c r="C8" s="13" t="n"/>
      <c r="D8" s="6" t="inlineStr">
        <is>
          <t>Meets the task; major enhancement still possible.</t>
        </is>
      </c>
      <c r="E8" s="28" t="n"/>
      <c r="F8" s="13" t="n"/>
    </row>
    <row r="9">
      <c r="A9" s="4" t="inlineStr">
        <is>
          <t>4</t>
        </is>
      </c>
      <c r="B9" s="5" t="inlineStr">
        <is>
          <t>Very Good</t>
        </is>
      </c>
      <c r="C9" s="13" t="n"/>
      <c r="D9" s="6" t="inlineStr">
        <is>
          <t>Minor enhancement only; valid and well justified.</t>
        </is>
      </c>
      <c r="E9" s="28" t="n"/>
      <c r="F9" s="13" t="n"/>
    </row>
    <row r="10">
      <c r="A10" s="4" t="inlineStr">
        <is>
          <t>5</t>
        </is>
      </c>
      <c r="B10" s="5" t="inlineStr">
        <is>
          <t>Excellent</t>
        </is>
      </c>
      <c r="C10" s="13" t="n"/>
      <c r="D10" s="6" t="inlineStr">
        <is>
          <t>Fully meets the task: every required part present, correct and specific.</t>
        </is>
      </c>
      <c r="E10" s="28" t="n"/>
      <c r="F10" s="13" t="n"/>
    </row>
    <row r="11"/>
    <row r="12">
      <c r="A12" s="7" t="inlineStr">
        <is>
          <t>#</t>
        </is>
      </c>
      <c r="B12" s="7" t="inlineStr">
        <is>
          <t>Criterion</t>
        </is>
      </c>
      <c r="C12" s="7" t="inlineStr">
        <is>
          <t>Weight</t>
        </is>
      </c>
      <c r="D12" s="7" t="inlineStr">
        <is>
          <t>What 'Excellent' (5) looks like</t>
        </is>
      </c>
      <c r="E12" s="7" t="inlineStr">
        <is>
          <t>What 'Reasonable' (3) looks like</t>
        </is>
      </c>
      <c r="F12" s="7" t="inlineStr">
        <is>
          <t>What 'Limited' or 'Basic' (1-2) looks like</t>
        </is>
      </c>
    </row>
    <row r="13" ht="112" customHeight="1">
      <c r="A13" s="4" t="inlineStr">
        <is>
          <t>C1</t>
        </is>
      </c>
      <c r="B13" s="6" t="inlineStr">
        <is>
          <t>S1 T2 Individual build task
Session 1 worksheet, Task 2: classify three wallet arrangements by operational risk. They are an overseas exchange account, MetaMask on a laptop, and a hardware wallet with 2-of-3 multi-signature.</t>
        </is>
      </c>
      <c r="C13" s="4" t="inlineStr">
        <is>
          <t>13%</t>
        </is>
      </c>
      <c r="D13" s="6" t="inlineStr">
        <is>
          <t>All three arrangements get a risk class and the main failure each one exposes you to. Each answer says who holds the keys and why that creates the risk.</t>
        </is>
      </c>
      <c r="E13" s="6" t="inlineStr">
        <is>
          <t>All three are classified and the failures are mostly right. At least one reason is missing, or only repeats the risk label.</t>
        </is>
      </c>
      <c r="F13" s="6" t="inlineStr">
        <is>
          <t>One or more arrangements are missing. Or risks are named without saying who holds the keys or what could go wrong.</t>
        </is>
      </c>
    </row>
    <row r="14" ht="99" customHeight="1">
      <c r="A14" s="4" t="inlineStr">
        <is>
          <t>C2</t>
        </is>
      </c>
      <c r="B14" s="6" t="inlineStr">
        <is>
          <t>S2 T2 Individual build task
Session 2 worksheet, Task 2: the Bahraini family office that holds Bitcoin in an omnibus account, where the overseas exchange pools all clients' assets in one wallet.</t>
        </is>
      </c>
      <c r="C14" s="4" t="inlineStr">
        <is>
          <t>13%</t>
        </is>
      </c>
      <c r="D14" s="6" t="inlineStr">
        <is>
          <t>Names the specific custody risk that pooling creates and how it would hurt the family office. Gives ONE mitigation that directly reduces that risk, with a reason.</t>
        </is>
      </c>
      <c r="E14" s="6" t="inlineStr">
        <is>
          <t>Names a relevant custody risk and a mitigation, but the link between them is not explained, or the risk is described only in general terms.</t>
        </is>
      </c>
      <c r="F14" s="6" t="inlineStr">
        <is>
          <t>A general comment that crypto is risky, with no custody risk named. Or a mitigation that does not fit the pooled-account problem.</t>
        </is>
      </c>
    </row>
    <row r="15" ht="99" customHeight="1">
      <c r="A15" s="4" t="inlineStr">
        <is>
          <t>C3</t>
        </is>
      </c>
      <c r="B15" s="6" t="inlineStr">
        <is>
          <t>S1 T3 Group-activity product (own write-up)
Session 1 worksheet, Task 3: the self-custody wallet lab on the Sepolia test network (practice network only, never real funds).</t>
        </is>
      </c>
      <c r="C15" s="4" t="inlineStr">
        <is>
          <t>13%</t>
        </is>
      </c>
      <c r="D15" s="6" t="inlineStr">
        <is>
          <t>Every lab step is done and shown: wallet created, seed-phrase security described, test transaction sent and read back on Sepolia Etherscan. The screenshot shows your student ID, and one clear line explains the transaction to a non-technical reader.</t>
        </is>
      </c>
      <c r="E15" s="6" t="inlineStr">
        <is>
          <t>The transaction is sent and shown, but one part is thin. The seed-phrase security is vague, or the explanation line repeats screen labels instead of explaining.</t>
        </is>
      </c>
      <c r="F15" s="6" t="inlineStr">
        <is>
          <t>The lab is incomplete: no transaction shown, no student ID in the screenshot, or no explanation. See the lab evidence rule in this rubric.</t>
        </is>
      </c>
    </row>
    <row r="16" ht="125" customHeight="1">
      <c r="A16" s="4" t="inlineStr">
        <is>
          <t>C4</t>
        </is>
      </c>
      <c r="B16" s="6" t="inlineStr">
        <is>
          <t>S2 T3 Group-activity product (own write-up)
Session 2 worksheet, Task 3: your own custody policy for a Bahraini firm holding about 250,000 US dollars (about 94,000 Bahraini dinars) in crypto-assets, using the custody policy template.</t>
        </is>
      </c>
      <c r="C16" s="4" t="inlineStr">
        <is>
          <t>13%</t>
        </is>
      </c>
      <c r="D16" s="6" t="inlineStr">
        <is>
          <t>All six template rows hold specific choices: a cold and hot split with a reason, an approval threshold with named key holders, and a seed-phrase backup and recovery plan. One trade-off is clearly defended.</t>
        </is>
      </c>
      <c r="E16" s="6" t="inlineStr">
        <is>
          <t>The template is filled in and the choices are sensible. Some choices have no reason, or the trade-off is named but not defended.</t>
        </is>
      </c>
      <c r="F16" s="6" t="inlineStr">
        <is>
          <t>Rows are missing or generic, such as 'keep it secure', with no numbers, no named key holders, or no trade-off.</t>
        </is>
      </c>
    </row>
    <row r="17" ht="164" customHeight="1">
      <c r="A17" s="4" t="inlineStr">
        <is>
          <t>C5</t>
        </is>
      </c>
      <c r="B17" s="6" t="inlineStr">
        <is>
          <t>T1 Reading comprehension (both sessions)
Task 1 in both worksheets. Session 1 asks about 'not your keys, not your coins', ranking wallet risk, and the failure with no recovery. Session 2 asks about the two key custody-policy decisions and the Cambridge Bitcoin Electricity Consumption Index (CBECI) energy-mix figure.</t>
        </is>
      </c>
      <c r="C17" s="4" t="inlineStr">
        <is>
          <t>16%</t>
        </is>
      </c>
      <c r="D17" s="6" t="inlineStr">
        <is>
          <t>Every question is answered in two or three sentences, in your own words. Each answer is correct and explains why, not only what.</t>
        </is>
      </c>
      <c r="E17" s="6" t="inlineStr">
        <is>
          <t>All questions are answered and broadly correct. Some answers are one line, repeat the reading, or skip the reason.</t>
        </is>
      </c>
      <c r="F17" s="6" t="inlineStr">
        <is>
          <t>Several questions are missing or wrong, or the answers are copied from the reading.</t>
        </is>
      </c>
    </row>
    <row r="18" ht="84" customHeight="1">
      <c r="A18" s="4" t="inlineStr">
        <is>
          <t>C6</t>
        </is>
      </c>
      <c r="B18" s="6" t="inlineStr">
        <is>
          <t>T4 Analysis / evaluation at NQF L8
Across the week: how well you weigh security against convenience, and energy claims against evidence.</t>
        </is>
      </c>
      <c r="C18" s="4" t="inlineStr">
        <is>
          <t>14%</t>
        </is>
      </c>
      <c r="D18" s="6" t="inlineStr">
        <is>
          <t>Makes clear judgements and backs each one with a reason: why one risk ranks above another, why a trade-off is worth making, and what the evidence can and cannot show.</t>
        </is>
      </c>
      <c r="E18" s="6" t="inlineStr">
        <is>
          <t>Some judgement is shown, but the answers mostly describe, or reasons are stated without support.</t>
        </is>
      </c>
      <c r="F18" s="6" t="inlineStr">
        <is>
          <t>Description only, or opinions given with no reasons.</t>
        </is>
      </c>
    </row>
    <row r="19" ht="84" customHeight="1">
      <c r="A19" s="4" t="inlineStr">
        <is>
          <t>C7</t>
        </is>
      </c>
      <c r="B19" s="6" t="inlineStr">
        <is>
          <t>T5 Bahrain / GCC grounding
Across the week: the Bahraini setting of the tasks.</t>
        </is>
      </c>
      <c r="C19" s="4" t="inlineStr">
        <is>
          <t>10%</t>
        </is>
      </c>
      <c r="D19" s="6" t="inlineStr">
        <is>
          <t>Uses the Bahraini setting accurately and makes it matter. For example, it shows how the family office's or the firm's situation shapes the risk and the policy choices.</t>
        </is>
      </c>
      <c r="E19" s="6" t="inlineStr">
        <is>
          <t>A correct Bahrain or GCC reference is made, but it could be removed without changing the answer.</t>
        </is>
      </c>
      <c r="F19" s="6" t="inlineStr">
        <is>
          <t>No Bahrain or GCC context, or a local fact that is wrong.</t>
        </is>
      </c>
    </row>
    <row r="20" ht="86" customHeight="1">
      <c r="A20" s="4" t="inlineStr">
        <is>
          <t>C8</t>
        </is>
      </c>
      <c r="B20" s="6" t="inlineStr">
        <is>
          <t>T6 Communication and academic conduct
Both worksheets: how clear your writing is, the length of each answer, your sources, and submission.</t>
        </is>
      </c>
      <c r="C20" s="4" t="inlineStr">
        <is>
          <t>8%</t>
        </is>
      </c>
      <c r="D20" s="6" t="inlineStr">
        <is>
          <t>Both worksheets are submitted. Answers are clear, plain and close to the expected length for each task. Every source you used is listed in Task 4. Listing is what is marked; APA 7th style is advised, not marked.</t>
        </is>
      </c>
      <c r="E20" s="6" t="inlineStr">
        <is>
          <t>Both worksheets are submitted and can be understood. Some answers are far too long or too short, or a source is missing.</t>
        </is>
      </c>
      <c r="F20" s="6" t="inlineStr">
        <is>
          <t>A worksheet is missing, answers are hard to follow, or sources were used but not listed.</t>
        </is>
      </c>
    </row>
    <row r="21"/>
    <row r="22">
      <c r="A22" s="3" t="inlineStr">
        <is>
          <t>Worked exemplar - what a good answer contains</t>
        </is>
      </c>
      <c r="B22" s="28" t="n"/>
      <c r="C22" s="28" t="n"/>
      <c r="D22" s="28" t="n"/>
      <c r="E22" s="28" t="n"/>
      <c r="F22" s="13" t="n"/>
    </row>
    <row r="23" ht="44" customHeight="1">
      <c r="A23" s="8" t="inlineStr">
        <is>
          <t>A good classification names who holds the keys, and the exposure that follows from that, as the worked example does. There, an exchange account is custodial, so the main risk is that the exchange fails or is hacked.</t>
        </is>
      </c>
      <c r="B23" s="28" t="n"/>
      <c r="C23" s="28" t="n"/>
      <c r="D23" s="28" t="n"/>
      <c r="E23" s="28" t="n"/>
      <c r="F23" s="13" t="n"/>
    </row>
    <row r="24"/>
    <row r="25">
      <c r="A25" s="9" t="inlineStr">
        <is>
          <t>Evidence gate for this week's lab (read before you start)</t>
        </is>
      </c>
      <c r="B25" s="28" t="n"/>
      <c r="C25" s="28" t="n"/>
      <c r="D25" s="28" t="n"/>
      <c r="E25" s="28" t="n"/>
      <c r="F25" s="13" t="n"/>
    </row>
    <row r="26" ht="42" customHeight="1">
      <c r="A26" s="10" t="inlineStr">
        <is>
          <t>Your screenshots with your name or student ID visible are the evidence for the lab criterion. (1) Your name or student ID must be visible in each screenshot. (2) The lab must end with the required completion screenshot. If either is missing, the lab evidence contributes 0 and is flagged. Lab this week: Self-custody wallet lab (testnet only).</t>
        </is>
      </c>
      <c r="B26" s="28" t="n"/>
      <c r="C26" s="28" t="n"/>
      <c r="D26" s="28" t="n"/>
      <c r="E26" s="28" t="n"/>
      <c r="F26" s="13" t="n"/>
    </row>
    <row r="27"/>
    <row r="28" ht="28" customHeight="1">
      <c r="A28" s="2" t="inlineStr">
        <is>
          <t>This worksheet contributes its weighted share to the A2 coursework total; the course result is decided on the overall course mark.</t>
        </is>
      </c>
      <c r="B28" s="28" t="n"/>
      <c r="C28" s="28" t="n"/>
      <c r="D28" s="28" t="n"/>
      <c r="E28" s="28" t="n"/>
      <c r="F28" s="13" t="n"/>
    </row>
  </sheetData>
  <mergeCells count="20">
    <mergeCell ref="B7:C7"/>
    <mergeCell ref="A26:F26"/>
    <mergeCell ref="D7:F7"/>
    <mergeCell ref="A2:F2"/>
    <mergeCell ref="A23:F23"/>
    <mergeCell ref="D9:F9"/>
    <mergeCell ref="A22:F22"/>
    <mergeCell ref="D8:F8"/>
    <mergeCell ref="B8:C8"/>
    <mergeCell ref="A28:F28"/>
    <mergeCell ref="D5:F5"/>
    <mergeCell ref="B10:C10"/>
    <mergeCell ref="B9:C9"/>
    <mergeCell ref="D10:F10"/>
    <mergeCell ref="B6:C6"/>
    <mergeCell ref="B5:C5"/>
    <mergeCell ref="A1:F1"/>
    <mergeCell ref="D6:F6"/>
    <mergeCell ref="B4:C4"/>
    <mergeCell ref="A25:F25"/>
  </mergeCells>
  <pageMargins left="0.4" right="0.4"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E27"/>
  <sheetViews>
    <sheetView showGridLines="0" workbookViewId="0">
      <selection activeCell="A1" sqref="A1"/>
    </sheetView>
  </sheetViews>
  <sheetFormatPr baseColWidth="8" defaultRowHeight="15"/>
  <cols>
    <col width="26" customWidth="1" min="1" max="1"/>
    <col width="10" customWidth="1" min="2" max="2"/>
    <col width="12" customWidth="1" min="3" max="3"/>
    <col width="16" customWidth="1" min="4" max="4"/>
    <col width="52" customWidth="1" min="5" max="5"/>
  </cols>
  <sheetData>
    <row r="1">
      <c r="A1" s="11" t="inlineStr">
        <is>
          <t>IT8204 Blockchain and Cryptocurrency - Week 3: Crypto Market Structure and a Self-Custody Wallet Lab  |  Designing a Custody Policy, and the Mining Energy and Environment Debate - MARKING SHEET</t>
        </is>
      </c>
      <c r="B1" s="28" t="n"/>
      <c r="C1" s="28" t="n"/>
      <c r="D1" s="28" t="n"/>
      <c r="E1" s="13" t="n"/>
    </row>
    <row r="3">
      <c r="A3" s="5" t="inlineStr">
        <is>
          <t>Student name:</t>
        </is>
      </c>
      <c r="B3" s="12" t="inlineStr">
        <is>
          <t>Meqdad Muhana</t>
        </is>
      </c>
      <c r="C3" s="13" t="n"/>
    </row>
    <row r="4">
      <c r="A4" s="5" t="inlineStr">
        <is>
          <t>Student ID:</t>
        </is>
      </c>
      <c r="B4" s="12" t="inlineStr">
        <is>
          <t>202306213</t>
        </is>
      </c>
      <c r="C4" s="13" t="n"/>
    </row>
    <row r="5">
      <c r="A5" s="5" t="inlineStr">
        <is>
          <t>Date:</t>
        </is>
      </c>
      <c r="B5" s="12" t="inlineStr">
        <is>
          <t>2026-10-03</t>
        </is>
      </c>
      <c r="D5" s="5" t="inlineStr">
        <is>
          <t>Marker:</t>
        </is>
      </c>
      <c r="E5" s="12" t="inlineStr">
        <is>
          <t>B. Bukhowa</t>
        </is>
      </c>
    </row>
    <row r="7">
      <c r="A7" s="7" t="inlineStr">
        <is>
          <t>Criterion</t>
        </is>
      </c>
      <c r="B7" s="14" t="inlineStr">
        <is>
          <t>Weight %</t>
        </is>
      </c>
      <c r="C7" s="14" t="inlineStr">
        <is>
          <t>Score (0-5)</t>
        </is>
      </c>
      <c r="D7" s="14" t="inlineStr">
        <is>
          <t>Weighted</t>
        </is>
      </c>
      <c r="E7" s="7" t="inlineStr">
        <is>
          <t>Comment (cite the screenshot / page)</t>
        </is>
      </c>
    </row>
    <row r="8" ht="171" customHeight="1">
      <c r="A8" s="5" t="inlineStr">
        <is>
          <t>S1 T2 Individual build task</t>
        </is>
      </c>
      <c r="B8" s="15" t="n">
        <v>13</v>
      </c>
      <c r="C8" s="16" t="n">
        <v>5</v>
      </c>
      <c r="D8" s="17">
        <f>(C8/5)*B8</f>
        <v/>
      </c>
      <c r="E8" s="18" t="inlineStr">
        <is>
          <t>On the Session 1 build task (classifying the three wallet arrangements): excellent. You give each arrangement its risk class, say clearly who holds the keys (a foreign firm, you alone, several signers offline) and explain why that creates the risk. For the multi-sig you explain that the risk moves from the network to the physical world and name two real failures, the loss of several backup devices together and two holders acting together dishonestly against the third, which goes beyond the worked example in the reading.</t>
        </is>
      </c>
    </row>
    <row r="9" ht="171" customHeight="1">
      <c r="A9" s="5" t="inlineStr">
        <is>
          <t>S2 T2 Individual build task</t>
        </is>
      </c>
      <c r="B9" s="15" t="n">
        <v>13</v>
      </c>
      <c r="C9" s="16" t="n">
        <v>4.5</v>
      </c>
      <c r="D9" s="17">
        <f>(C9/5)*B9</f>
        <v/>
      </c>
      <c r="E9" s="18" t="inlineStr">
        <is>
          <t>On the Session 2 build task (the family office omnibus account): this is a strong answer. You explain that the office holds only an unsecured claim, that its assets would fall into a foreign bankruptcy estate, and that it would have no recourse through Bahraini courts or the CBB. Your segregated sub-account with dedicated addresses fits the pooling risk and you explain why it works. However, you add a second option in brackets, moving to self-custody, where the task asked for one mitigation, and 'guaranteeing' overstates what segregation can promise.</t>
        </is>
      </c>
    </row>
    <row r="10" ht="171" customHeight="1">
      <c r="A10" s="5" t="inlineStr">
        <is>
          <t>S1 T3 Group-activity product (own write-up)</t>
        </is>
      </c>
      <c r="B10" s="15" t="n">
        <v>13</v>
      </c>
      <c r="C10" s="16" t="n">
        <v>4.5</v>
      </c>
      <c r="D10" s="17">
        <f>(C10/5)*B10</f>
        <v/>
      </c>
      <c r="E10" s="18" t="inlineStr">
        <is>
          <t>On the Session 1 group activity (the Sepolia wallet lab): every step is evidenced. Your screenshot shows a sent 0.0001 ETH transaction on Sepolia Etherscan with status Success, your MetaMask account is named with your ID, and the Sent entry matches. You describe storing the phrase on paper and name its weakness. Your plain-words line correctly reads the date, amount, block and fee. However, it does not say what the record cannot show, such as who controls the addresses or why the payment was made, which the lab sheet asked for.</t>
        </is>
      </c>
    </row>
    <row r="11" ht="156" customHeight="1">
      <c r="A11" s="5" t="inlineStr">
        <is>
          <t>S2 T3 Group-activity product (own write-up)</t>
        </is>
      </c>
      <c r="B11" s="15" t="n">
        <v>13</v>
      </c>
      <c r="C11" s="16" t="n">
        <v>5</v>
      </c>
      <c r="D11" s="17">
        <f>(C11/5)*B11</f>
        <v/>
      </c>
      <c r="E11" s="18" t="inlineStr">
        <is>
          <t>On the Session 2 group activity (your custody policy): this is a complete, specific policy. Every template row names a rule and its risk; you set a 90/10 split with BHD figures, a 2-of-3 threshold held by the CFO, the CEO and a CBB-licensed custodian, steel seed backups in banks in Manama and Seef, CRA-8 segregation and an incident response with CBB notification. Your trade-off defence is your own: a 24-hour time lock is a small cost set against the risk of instant theft from a single-signature setup.</t>
        </is>
      </c>
    </row>
    <row r="12" ht="141" customHeight="1">
      <c r="A12" s="5" t="inlineStr">
        <is>
          <t>T1 Reading comprehension (both sessions)</t>
        </is>
      </c>
      <c r="B12" s="15" t="n">
        <v>16</v>
      </c>
      <c r="C12" s="16" t="n">
        <v>4</v>
      </c>
      <c r="D12" s="17">
        <f>(C12/5)*B12</f>
        <v/>
      </c>
      <c r="E12" s="18" t="inlineStr">
        <is>
          <t>On the reading comprehension across both sessions: all six answers are correct and explain why. Your Session 2 Q3 is especially good, linking the mix to halvings and the move after the 2021 China ban. However, your Session 2 Q2 gives no CBECI figure and no date, so it explains how to read the figure without reading it as the question asked.</t>
        </is>
      </c>
    </row>
    <row r="13" ht="141" customHeight="1">
      <c r="A13" s="5" t="inlineStr">
        <is>
          <t>T4 Analysis / evaluation at NQF L8</t>
        </is>
      </c>
      <c r="B13" s="15" t="n">
        <v>14</v>
      </c>
      <c r="C13" s="16" t="n">
        <v>4.5</v>
      </c>
      <c r="D13" s="17">
        <f>(C13/5)*B13</f>
        <v/>
      </c>
      <c r="E13" s="18" t="inlineStr">
        <is>
          <t>On analysis and evaluation across the week: you make clear judgements with reasons throughout. You weigh a 24-hour delay against instant theft, explain why the multi-sig risk shifts to governance, and suggest comparing the mining mix with the regional grid to judge whether miners use stranded renewable power. However, your CBECI answer stays at the level of method: without the actual figure there is no judgement about what today's reading means for an investor.</t>
        </is>
      </c>
    </row>
    <row r="14" ht="141" customHeight="1">
      <c r="A14" s="5" t="inlineStr">
        <is>
          <t>T5 Bahrain / GCC grounding</t>
        </is>
      </c>
      <c r="B14" s="15" t="n">
        <v>10</v>
      </c>
      <c r="C14" s="16" t="n">
        <v>5</v>
      </c>
      <c r="D14" s="17">
        <f>(C14/5)*B14</f>
        <v/>
      </c>
      <c r="E14" s="18" t="inlineStr">
        <is>
          <t>On Bahrain and GCC grounding across the week: the Bahraini setting changes your answers throughout. You show that the family office would have no recourse through Bahraini courts or the CBB against a foreign exchange, choose a CBB-licensed custodian, place seed backups in Manama and Seef, add a duty to notify the CBB within 24 hours, give BHD figures, and suggest comparing the mining mix with the GCC grid. This is local grounding used as real reasons.</t>
        </is>
      </c>
    </row>
    <row r="15" ht="141" customHeight="1">
      <c r="A15" s="5" t="inlineStr">
        <is>
          <t>T6 Communication and academic conduct</t>
        </is>
      </c>
      <c r="B15" s="15" t="n">
        <v>8</v>
      </c>
      <c r="C15" s="16" t="n">
        <v>4.5</v>
      </c>
      <c r="D15" s="17">
        <f>(C15/5)*B15</f>
        <v/>
      </c>
      <c r="E15" s="18" t="inlineStr">
        <is>
          <t>On communication and academic conduct: both worksheets and the custody template are complete and well organised, your lab screenshot is pasted under the task, and Task 4 lists sources in both sheets. However, several answers run longer than asked (your family office answer is well over five sentences) and use dense technical wording, such as 'broadcasting my signed intent to the mempool', where plain English would serve the reader better.</t>
        </is>
      </c>
    </row>
    <row r="16">
      <c r="A16" s="19" t="inlineStr">
        <is>
          <t>TOTAL</t>
        </is>
      </c>
      <c r="B16" s="20">
        <f>SUM(B8:B15)</f>
        <v/>
      </c>
      <c r="C16" s="21" t="inlineStr"/>
      <c r="D16" s="22">
        <f>SUM(D8:D15)</f>
        <v/>
      </c>
      <c r="E16" s="23" t="inlineStr">
        <is>
          <t>Weights sum to 100; max weighted = 100.</t>
        </is>
      </c>
    </row>
    <row r="17">
      <c r="A17" s="24" t="inlineStr">
        <is>
          <t>Overall mark (out of 100)</t>
        </is>
      </c>
      <c r="B17" s="25">
        <f>D16</f>
        <v/>
      </c>
      <c r="C17" s="26" t="inlineStr">
        <is>
          <t>Weighted average of the criteria, out of 100. This worksheet contributes its weighted share to the A2 coursework total; the course result is decided on the overall course mark.</t>
        </is>
      </c>
      <c r="D17" s="28" t="n"/>
      <c r="E17" s="13" t="n"/>
    </row>
    <row r="19">
      <c r="A19" s="9" t="inlineStr">
        <is>
          <t>Gate check - each lab must meet BOTH (else that lab's evidence = 0; flag it)</t>
        </is>
      </c>
      <c r="B19" s="28" t="n"/>
      <c r="C19" s="28" t="n"/>
      <c r="D19" s="28" t="n"/>
      <c r="E19" s="13" t="n"/>
    </row>
    <row r="20">
      <c r="A20" s="27" t="inlineStr">
        <is>
          <t>Lab</t>
        </is>
      </c>
      <c r="B20" s="27" t="inlineStr">
        <is>
          <t>Student ID in your evidence? (Y/N)</t>
        </is>
      </c>
      <c r="C20" s="27" t="inlineStr">
        <is>
          <t>Required screenshot present? (Y/N)</t>
        </is>
      </c>
      <c r="D20" s="28" t="n"/>
      <c r="E20" s="13" t="n"/>
    </row>
    <row r="21">
      <c r="A21" s="5" t="inlineStr">
        <is>
          <t>Self-custody wallet lab (testnet only)</t>
        </is>
      </c>
      <c r="B21" s="29" t="inlineStr">
        <is>
          <t>Y</t>
        </is>
      </c>
      <c r="C21" s="29" t="inlineStr">
        <is>
          <t>Y</t>
        </is>
      </c>
      <c r="D21" s="28" t="n"/>
      <c r="E21" s="13" t="n"/>
    </row>
    <row r="23">
      <c r="A23" s="3" t="inlineStr">
        <is>
          <t>Overall feedback to the student</t>
        </is>
      </c>
      <c r="B23" s="28" t="n"/>
      <c r="C23" s="28" t="n"/>
      <c r="D23" s="28" t="n"/>
      <c r="E23" s="13" t="n"/>
    </row>
    <row r="24" ht="32" customHeight="1">
      <c r="A24" s="37" t="inlineStr">
        <is>
          <t>Meqdad, this is a very strong Week 3 submission. Your wallet classification names precise multi-sig failures, your lab evidence is complete with your ID visible and a sent transaction, and your custody policy is specific, costed in BHD and grounded in Bahrain, from the CBB-licensed custodian to the vaults in Manama and Seef. Your family office answer explains the foreign-bankruptcy problem very well. Marks were held back because your CBECI answer gives no figure or date, your lab line does not say what the record cannot show, and the family office answer adds a second mitigation. For the coming weeks, keep answers to the length asked and write in plain English: a shorter answer that states one clear choice and one reason is easier to follow and to credit than a long one.</t>
        </is>
      </c>
      <c r="B24" s="30" t="n"/>
      <c r="C24" s="30" t="n"/>
      <c r="D24" s="30" t="n"/>
      <c r="E24" s="31" t="n"/>
    </row>
    <row r="25" ht="32" customHeight="1">
      <c r="A25" s="32" t="n"/>
      <c r="E25" s="33" t="n"/>
    </row>
    <row r="26" ht="32" customHeight="1">
      <c r="A26" s="32" t="n"/>
      <c r="E26" s="33" t="n"/>
    </row>
    <row r="27" ht="32" customHeight="1">
      <c r="A27" s="34" t="n"/>
      <c r="B27" s="35" t="n"/>
      <c r="C27" s="35" t="n"/>
      <c r="D27" s="35" t="n"/>
      <c r="E27" s="36" t="n"/>
    </row>
  </sheetData>
  <mergeCells count="9">
    <mergeCell ref="B3:C3"/>
    <mergeCell ref="A19:E19"/>
    <mergeCell ref="A24:E27"/>
    <mergeCell ref="A1:E1"/>
    <mergeCell ref="C17:E17"/>
    <mergeCell ref="A23:E23"/>
    <mergeCell ref="C21:E21"/>
    <mergeCell ref="C20:E20"/>
    <mergeCell ref="B4:C4"/>
  </mergeCells>
  <pageMargins left="0.4" right="0.4"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t="inlineStr">
        <is>
          <t>bp-worksheet-mark config (JSON) - do not edit or unhide</t>
        </is>
      </c>
    </row>
    <row r="2">
      <c r="A2" t="inlineStr">
        <is>
          <t>{"course": "IT8204", "session": "Week 3", "topic": "Crypto Market Structure and a Self-Custody Wallet Lab  |  Designing a Custody Policy, and the Mining Energy and Environment Debate", "marking_sheet": "IT8204 Week 3 Marking Sheet v1.xlsx", "marking_tab": "Marking", "scale": "0-5 (decimals)", "pass_score": 3.0, "pct_formula": "score x 20", "total_model": "weighted_capped", "max_score": 5, "total_out_of": 100, "weight_sum": 100, "input_cells": {"student_name": "B3", "student_id": "B4", "date": "B5", "marker": "E5", "scores": ["C8", "C9", "C10", "C11", "C12", "C13", "C14", "C15"], "comments": ["E8", "E9", "E10", "E11", "E12", "E13", "E14", "E15"]}, "criteria": [{"row": 8, "name": "S1 T2 Individual build task", "weight": 13, "keywords": ["individual", "build", "task", "session", "worksheet", "classify", "wallet", "arrangements", "operational", "risk", "overseas", "exchange", "account", "metamask"]}, {"row": 9, "name": "S2 T2 Individual build task", "weight": 13, "keywords": ["individual", "build", "task", "session", "worksheet", "bahraini", "family", "office", "holds", "bitcoin", "omnibus", "account", "where", "overseas"]}, {"row": 10, "name": "S1 T3 Group-activity product (own write-up)", "weight": 13, "keywords": ["group-activity", "product", "write-up", "session", "worksheet", "task", "self-custody", "wallet", "sepolia", "test", "network", "practice", "only", "never"]}, {"row": 11, "name": "S2 T3 Group-activity product (own write-up)", "weight": 13, "keywords": ["group-activity", "product", "write-up", "session", "worksheet", "task", "custody", "policy", "bahraini", "firm", "holding", "about", "dollars", "dinars"]}, {"row": 12, "name": "T1 Reading comprehension (both sessions)", "weight": 16, "keywords": ["reading", "comprehension", "sessions", "task", "worksheets", "session", "asks", "about", "keys", "coins", "ranking", "wallet", "risk", "failure"]}, {"row": 13, "name": "T4 Analysis / evaluation at NQF L8", "weight": 14, "keywords": ["analysis", "evaluation", "across", "week", "well", "weigh", "security", "against", "convenience", "energy", "claims", "evidence"]}, {"row": 14, "name": "T5 Bahrain / GCC grounding", "weight": 10, "keywords": ["bahrain", "grounding", "across", "week", "bahraini", "setting", "tasks"]}, {"row": 15, "name": "T6 Communication and academic conduct", "weight": 8, "keywords": ["communication", "academic", "conduct", "worksheets", "clear", "writing", "length", "answer", "sources", "submission"]}], "overall_pct_cell": "B17", "gates": ["Self-custody wallet lab (testnet only)"], "gate_rule": "For each lab: student ID in the submitted evidence AND the required completion screenshot; if either fails, that lab's evidence contributes 0 and is flagged."}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2026-09-26T09:35:51Z</dcterms:created>
  <dcterms:modified xmlns:dcterms="http://purl.org/dc/terms/" xmlns:xsi="http://www.w3.org/2001/XMLSchema-instance" xsi:type="dcterms:W3CDTF">2026-10-03T06:11:00Z</dcterms:modified>
</cp:coreProperties>
</file>