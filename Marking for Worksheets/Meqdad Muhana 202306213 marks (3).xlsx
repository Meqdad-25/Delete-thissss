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bric (students)" sheetId="1" state="visible" r:id="rId1"/>
    <sheet xmlns:r="http://schemas.openxmlformats.org/officeDocument/2006/relationships" name="Marking" sheetId="2" state="visible" r:id="rId2"/>
    <sheet xmlns:r="http://schemas.openxmlformats.org/officeDocument/2006/relationships" name="_config" sheetId="3" state="hidden" r:id="rId3"/>
  </sheets>
  <definedNames/>
  <calcPr calcId="124519" fullCalcOnLoad="1"/>
</workbook>
</file>

<file path=xl/styles.xml><?xml version="1.0" encoding="utf-8"?>
<styleSheet xmlns="http://schemas.openxmlformats.org/spreadsheetml/2006/main">
  <numFmts count="1">
    <numFmt numFmtId="164" formatCode="0.0"/>
  </numFmts>
  <fonts count="10">
    <font>
      <name val="Calibri"/>
      <family val="2"/>
      <color theme="1"/>
      <sz val="11"/>
      <scheme val="minor"/>
    </font>
    <font>
      <name val="Arial"/>
      <b val="1"/>
      <color rgb="00FFFFFF"/>
      <sz val="14"/>
    </font>
    <font>
      <name val="Arial"/>
      <i val="1"/>
      <color rgb="00000000"/>
      <sz val="9"/>
    </font>
    <font>
      <name val="Arial"/>
      <b val="1"/>
      <color rgb="00FFFFFF"/>
      <sz val="11"/>
    </font>
    <font>
      <name val="Arial"/>
      <b val="1"/>
      <color rgb="00000000"/>
      <sz val="10"/>
    </font>
    <font>
      <name val="Arial"/>
      <color rgb="00000000"/>
      <sz val="10"/>
    </font>
    <font>
      <name val="Arial"/>
      <color rgb="00000000"/>
      <sz val="9"/>
    </font>
    <font>
      <name val="Arial"/>
      <b val="1"/>
      <color rgb="00FFFFFF"/>
      <sz val="13"/>
    </font>
    <font>
      <name val="Arial"/>
      <sz val="10"/>
    </font>
    <font>
      <name val="Arial"/>
      <b val="1"/>
    </font>
  </fonts>
  <fills count="10">
    <fill>
      <patternFill/>
    </fill>
    <fill>
      <patternFill patternType="gray125"/>
    </fill>
    <fill>
      <patternFill patternType="solid">
        <fgColor rgb="001F3864"/>
      </patternFill>
    </fill>
    <fill>
      <patternFill patternType="solid">
        <fgColor rgb="00EAF1F8"/>
      </patternFill>
    </fill>
    <fill>
      <patternFill patternType="solid">
        <fgColor rgb="002E75B6"/>
      </patternFill>
    </fill>
    <fill>
      <patternFill patternType="solid">
        <fgColor rgb="00127D7A"/>
      </patternFill>
    </fill>
    <fill>
      <patternFill patternType="solid">
        <fgColor rgb="00FFF2CC"/>
      </patternFill>
    </fill>
    <fill>
      <patternFill patternType="solid">
        <fgColor rgb="00FFFFFF"/>
      </patternFill>
    </fill>
    <fill>
      <patternFill patternType="solid">
        <fgColor rgb="00DCE6F2"/>
      </patternFill>
    </fill>
    <fill>
      <patternFill patternType="solid">
        <fgColor rgb="00E2EFDA"/>
      </patternFill>
    </fill>
  </fills>
  <borders count="11">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
      <left/>
      <right/>
      <top style="thin">
        <color rgb="00BFBFBF"/>
      </top>
      <bottom style="thin">
        <color rgb="00BFBFBF"/>
      </bottom>
      <diagonal/>
    </border>
    <border>
      <left style="thin">
        <color rgb="00BFBFBF"/>
      </left>
      <right/>
      <top/>
      <bottom/>
      <diagonal/>
    </border>
    <border>
      <left/>
      <right style="thin">
        <color rgb="00BFBFBF"/>
      </right>
      <top/>
      <bottom/>
      <diagonal/>
    </border>
    <border>
      <left style="thin">
        <color rgb="00BFBFBF"/>
      </left>
      <right/>
      <top/>
      <bottom style="thin">
        <color rgb="00BFBFBF"/>
      </bottom>
      <diagonal/>
    </border>
    <border>
      <left/>
      <right/>
      <top/>
      <bottom style="thin">
        <color rgb="00BFBFBF"/>
      </bottom>
      <diagonal/>
    </border>
    <border>
      <left/>
      <right style="thin">
        <color rgb="00BFBFBF"/>
      </right>
      <top/>
      <bottom style="thin">
        <color rgb="00BFBFBF"/>
      </bottom>
      <diagonal/>
    </border>
  </borders>
  <cellStyleXfs count="1">
    <xf numFmtId="0" fontId="0" fillId="0" borderId="0"/>
  </cellStyleXfs>
  <cellXfs count="3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top" wrapText="1"/>
    </xf>
    <xf numFmtId="0" fontId="3" fillId="4" borderId="1" applyAlignment="1" pivotButton="0" quotePrefix="0" xfId="0">
      <alignment horizontal="left" vertical="center" wrapText="1"/>
    </xf>
    <xf numFmtId="0" fontId="4" fillId="0" borderId="1" applyAlignment="1" pivotButton="0" quotePrefix="0" xfId="0">
      <alignment horizontal="center" vertical="top" wrapText="1"/>
    </xf>
    <xf numFmtId="0" fontId="4" fillId="0" borderId="1" applyAlignment="1" pivotButton="0" quotePrefix="0" xfId="0">
      <alignment horizontal="left" vertical="top" wrapText="1"/>
    </xf>
    <xf numFmtId="0" fontId="5" fillId="0" borderId="1" applyAlignment="1" pivotButton="0" quotePrefix="0" xfId="0">
      <alignment horizontal="left" vertical="top" wrapText="1"/>
    </xf>
    <xf numFmtId="0" fontId="3" fillId="5" borderId="1" applyAlignment="1" pivotButton="0" quotePrefix="0" xfId="0">
      <alignment horizontal="left" vertical="center" wrapText="1"/>
    </xf>
    <xf numFmtId="0" fontId="6" fillId="3" borderId="1" applyAlignment="1" pivotButton="0" quotePrefix="0" xfId="0">
      <alignment horizontal="left" vertical="top" wrapText="1"/>
    </xf>
    <xf numFmtId="0" fontId="7" fillId="2" borderId="1" applyAlignment="1" pivotButton="0" quotePrefix="0" xfId="0">
      <alignment horizontal="center" vertical="center" wrapText="1"/>
    </xf>
    <xf numFmtId="0" fontId="5" fillId="6" borderId="1" applyAlignment="1" pivotButton="0" quotePrefix="0" xfId="0">
      <alignment horizontal="left" vertical="top" wrapText="1"/>
    </xf>
    <xf numFmtId="0" fontId="0" fillId="0" borderId="4" pivotButton="0" quotePrefix="0" xfId="0"/>
    <xf numFmtId="0" fontId="3" fillId="5" borderId="1" applyAlignment="1" pivotButton="0" quotePrefix="0" xfId="0">
      <alignment horizontal="center" vertical="center" wrapText="1"/>
    </xf>
    <xf numFmtId="1" fontId="5" fillId="0" borderId="1" applyAlignment="1" pivotButton="0" quotePrefix="0" xfId="0">
      <alignment horizontal="center" vertical="top" wrapText="1"/>
    </xf>
    <xf numFmtId="164" fontId="5" fillId="6" borderId="1" applyAlignment="1" pivotButton="0" quotePrefix="0" xfId="0">
      <alignment horizontal="center" vertical="top" wrapText="1"/>
    </xf>
    <xf numFmtId="164" fontId="8" fillId="0" borderId="1" applyAlignment="1" pivotButton="0" quotePrefix="0" xfId="0">
      <alignment horizontal="center"/>
    </xf>
    <xf numFmtId="0" fontId="5" fillId="7" borderId="1" applyAlignment="1" pivotButton="0" quotePrefix="0" xfId="0">
      <alignment horizontal="left" vertical="top" wrapText="1"/>
    </xf>
    <xf numFmtId="0" fontId="4" fillId="8" borderId="1" applyAlignment="1" pivotButton="0" quotePrefix="0" xfId="0">
      <alignment horizontal="left" vertical="top" wrapText="1"/>
    </xf>
    <xf numFmtId="1" fontId="9" fillId="8" borderId="1" applyAlignment="1" pivotButton="0" quotePrefix="0" xfId="0">
      <alignment horizontal="center"/>
    </xf>
    <xf numFmtId="0" fontId="5" fillId="8" borderId="1" applyAlignment="1" pivotButton="0" quotePrefix="0" xfId="0">
      <alignment horizontal="left" vertical="top" wrapText="1"/>
    </xf>
    <xf numFmtId="164" fontId="9" fillId="8" borderId="1" applyAlignment="1" pivotButton="0" quotePrefix="0" xfId="0">
      <alignment horizontal="center"/>
    </xf>
    <xf numFmtId="0" fontId="2" fillId="8" borderId="1" applyAlignment="1" pivotButton="0" quotePrefix="0" xfId="0">
      <alignment horizontal="left" vertical="top" wrapText="1"/>
    </xf>
    <xf numFmtId="0" fontId="4" fillId="9" borderId="1" applyAlignment="1" pivotButton="0" quotePrefix="0" xfId="0">
      <alignment horizontal="left" vertical="top" wrapText="1"/>
    </xf>
    <xf numFmtId="164" fontId="9" fillId="9" borderId="1" applyAlignment="1" pivotButton="0" quotePrefix="0" xfId="0">
      <alignment horizontal="center"/>
    </xf>
    <xf numFmtId="0" fontId="2" fillId="9" borderId="1" applyAlignment="1" pivotButton="0" quotePrefix="0" xfId="0">
      <alignment horizontal="left" vertical="top" wrapText="1"/>
    </xf>
    <xf numFmtId="0" fontId="0" fillId="0" borderId="5" pivotButton="0" quotePrefix="0" xfId="0"/>
    <xf numFmtId="0" fontId="0" fillId="0" borderId="2" pivotButton="0" quotePrefix="0" xfId="0"/>
    <xf numFmtId="0" fontId="0" fillId="0" borderId="3"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0" pivotButton="0" quotePrefix="0" xfId="0"/>
    <xf numFmtId="0" fontId="5"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F27"/>
  <sheetViews>
    <sheetView showGridLines="0" workbookViewId="0">
      <selection activeCell="A1" sqref="A1"/>
    </sheetView>
  </sheetViews>
  <sheetFormatPr baseColWidth="8" defaultRowHeight="15"/>
  <cols>
    <col width="6" customWidth="1" min="1" max="1"/>
    <col width="30" customWidth="1" min="2" max="2"/>
    <col width="10" customWidth="1" min="3" max="3"/>
    <col width="38" customWidth="1" min="4" max="4"/>
    <col width="38" customWidth="1" min="5" max="5"/>
    <col width="38" customWidth="1" min="6" max="6"/>
  </cols>
  <sheetData>
    <row r="1">
      <c r="A1" s="1" t="inlineStr">
        <is>
          <t>IT8204 Blockchain and Cryptocurrency - Week 4: Smart Contracts for Business - and How to Read One  |  Choosing a Chain: a Five-Criterion Decision Framework</t>
        </is>
      </c>
      <c r="B1" s="25" t="n"/>
      <c r="C1" s="25" t="n"/>
      <c r="D1" s="25" t="n"/>
      <c r="E1" s="25" t="n"/>
      <c r="F1" s="11" t="n"/>
    </row>
    <row r="2" ht="48" customHeight="1">
      <c r="A2" s="2" t="inlineStr">
        <is>
          <t>Marking rubric for your worksheet. You are scored 0-5 on each criterion (decimals allowed). Mark % = score x 20; your overall mark is the weighted average of the criteria, shown as a score out of 100. This worksheet contributes its weighted share to the A2 coursework total; the course result is decided on the overall course mark.</t>
        </is>
      </c>
      <c r="B2" s="25" t="n"/>
      <c r="C2" s="25" t="n"/>
      <c r="D2" s="25" t="n"/>
      <c r="E2" s="25" t="n"/>
      <c r="F2" s="11" t="n"/>
    </row>
    <row r="4">
      <c r="A4" s="3" t="inlineStr">
        <is>
          <t>Score</t>
        </is>
      </c>
      <c r="B4" s="3" t="inlineStr">
        <is>
          <t>Level</t>
        </is>
      </c>
      <c r="C4" s="11" t="n"/>
      <c r="D4" s="3" t="inlineStr">
        <is>
          <t>What it means</t>
        </is>
      </c>
      <c r="E4" s="3" t="inlineStr">
        <is>
          <t xml:space="preserve"> </t>
        </is>
      </c>
      <c r="F4" s="3" t="inlineStr">
        <is>
          <t xml:space="preserve"> </t>
        </is>
      </c>
    </row>
    <row r="5">
      <c r="A5" s="4" t="inlineStr">
        <is>
          <t>0</t>
        </is>
      </c>
      <c r="B5" s="5" t="inlineStr">
        <is>
          <t>Missing</t>
        </is>
      </c>
      <c r="C5" s="11" t="n"/>
      <c r="D5" s="6" t="inlineStr">
        <is>
          <t>No evidence / not attempted.</t>
        </is>
      </c>
      <c r="E5" s="25" t="n"/>
      <c r="F5" s="11" t="n"/>
    </row>
    <row r="6">
      <c r="A6" s="4" t="inlineStr">
        <is>
          <t>1</t>
        </is>
      </c>
      <c r="B6" s="5" t="inlineStr">
        <is>
          <t>Limited</t>
        </is>
      </c>
      <c r="C6" s="11" t="n"/>
      <c r="D6" s="6" t="inlineStr">
        <is>
          <t>Attempted but cannot give a basic explanation; mostly incorrect.</t>
        </is>
      </c>
      <c r="E6" s="25" t="n"/>
      <c r="F6" s="11" t="n"/>
    </row>
    <row r="7">
      <c r="A7" s="4" t="inlineStr">
        <is>
          <t>2</t>
        </is>
      </c>
      <c r="B7" s="5" t="inlineStr">
        <is>
          <t>Basic</t>
        </is>
      </c>
      <c r="C7" s="11" t="n"/>
      <c r="D7" s="6" t="inlineStr">
        <is>
          <t>Below expectation; major gaps.</t>
        </is>
      </c>
      <c r="E7" s="25" t="n"/>
      <c r="F7" s="11" t="n"/>
    </row>
    <row r="8">
      <c r="A8" s="4" t="inlineStr">
        <is>
          <t>3</t>
        </is>
      </c>
      <c r="B8" s="5" t="inlineStr">
        <is>
          <t>Reasonable</t>
        </is>
      </c>
      <c r="C8" s="11" t="n"/>
      <c r="D8" s="6" t="inlineStr">
        <is>
          <t>Meets the task; major enhancement still possible.</t>
        </is>
      </c>
      <c r="E8" s="25" t="n"/>
      <c r="F8" s="11" t="n"/>
    </row>
    <row r="9">
      <c r="A9" s="4" t="inlineStr">
        <is>
          <t>4</t>
        </is>
      </c>
      <c r="B9" s="5" t="inlineStr">
        <is>
          <t>Very Good</t>
        </is>
      </c>
      <c r="C9" s="11" t="n"/>
      <c r="D9" s="6" t="inlineStr">
        <is>
          <t>Minor enhancement only; valid and well justified.</t>
        </is>
      </c>
      <c r="E9" s="25" t="n"/>
      <c r="F9" s="11" t="n"/>
    </row>
    <row r="10">
      <c r="A10" s="4" t="inlineStr">
        <is>
          <t>5</t>
        </is>
      </c>
      <c r="B10" s="5" t="inlineStr">
        <is>
          <t>Excellent</t>
        </is>
      </c>
      <c r="C10" s="11" t="n"/>
      <c r="D10" s="6" t="inlineStr">
        <is>
          <t>Fully meets the task: every required part present, correct and specific.</t>
        </is>
      </c>
      <c r="E10" s="25" t="n"/>
      <c r="F10" s="11" t="n"/>
    </row>
    <row r="12">
      <c r="A12" s="7" t="inlineStr">
        <is>
          <t>#</t>
        </is>
      </c>
      <c r="B12" s="7" t="inlineStr">
        <is>
          <t>Criterion</t>
        </is>
      </c>
      <c r="C12" s="7" t="inlineStr">
        <is>
          <t>Weight</t>
        </is>
      </c>
      <c r="D12" s="7" t="inlineStr">
        <is>
          <t>What 'Excellent' (5) looks like</t>
        </is>
      </c>
      <c r="E12" s="7" t="inlineStr">
        <is>
          <t>What 'Reasonable' (3) looks like</t>
        </is>
      </c>
      <c r="F12" s="7" t="inlineStr">
        <is>
          <t>What 'Limited' or 'Basic' (1-2) looks like</t>
        </is>
      </c>
    </row>
    <row r="13" ht="99" customHeight="1">
      <c r="A13" s="4" t="inlineStr">
        <is>
          <t>C1</t>
        </is>
      </c>
      <c r="B13" s="6" t="inlineStr">
        <is>
          <t>S1 T2 Individual build task
Session 1 worksheet, Task 2: for the contract you read on Etherscan, its oracle dependency (the outside data it relies on) and ONE mitigation.</t>
        </is>
      </c>
      <c r="C13" s="4" t="inlineStr">
        <is>
          <t>13%</t>
        </is>
      </c>
      <c r="D13" s="6" t="inlineStr">
        <is>
          <t>Names the specific outside data the contract relies on. Gives ONE concrete control that reduces the risk from that data.</t>
        </is>
      </c>
      <c r="E13" s="6" t="inlineStr">
        <is>
          <t>Names an oracle dependency and a mitigation, but one of them is vague, such as 'use a good oracle'.</t>
        </is>
      </c>
      <c r="F13" s="6" t="inlineStr">
        <is>
          <t>No specific dependency is named, or the mitigation has nothing to do with outside data.</t>
        </is>
      </c>
    </row>
    <row r="14" ht="99" customHeight="1">
      <c r="A14" s="4" t="inlineStr">
        <is>
          <t>C2</t>
        </is>
      </c>
      <c r="B14" s="6" t="inlineStr">
        <is>
          <t>S2 T2 Individual build task
Session 2 worksheet, Task 2: the five-criterion grid for ONE chain of your choice (Ethereum with a layer 2, Hyperledger Fabric, Solana or Corda).</t>
        </is>
      </c>
      <c r="C14" s="4" t="inlineStr">
        <is>
          <t>13%</t>
        </is>
      </c>
      <c r="D14" s="6" t="inlineStr">
        <is>
          <t>All five rows are completed, one line each. Every line makes a specific and accurate point about the chosen chain.</t>
        </is>
      </c>
      <c r="E14" s="6" t="inlineStr">
        <is>
          <t>All five rows are completed, but some lines are general and would fit any chain.</t>
        </is>
      </c>
      <c r="F14" s="6" t="inlineStr">
        <is>
          <t>Rows are missing, or points are wrong about the chosen chain.</t>
        </is>
      </c>
    </row>
    <row r="15" ht="86" customHeight="1">
      <c r="A15" s="4" t="inlineStr">
        <is>
          <t>C3</t>
        </is>
      </c>
      <c r="B15" s="6" t="inlineStr">
        <is>
          <t>S1 T3 Group-activity product (own write-up)
Session 1 worksheet, Task 3: translate a deployed Uniswap or Compound contract into business language.</t>
        </is>
      </c>
      <c r="C15" s="4" t="inlineStr">
        <is>
          <t>13%</t>
        </is>
      </c>
      <c r="D15" s="6" t="inlineStr">
        <is>
          <t>Lists the main functions by name and turns each into a plain business step. Names any outside data the contract relies on, or says clearly that it relies on none. Gives one mitigation where a dependency exists. A manager could follow it.</t>
        </is>
      </c>
      <c r="E15" s="6" t="inlineStr">
        <is>
          <t>Main functions are listed and partly translated, but some stay technical, or the outside-data point is missing or thin.</t>
        </is>
      </c>
      <c r="F15" s="6" t="inlineStr">
        <is>
          <t>Function names are copied without translation, or the contract is described only in general terms.</t>
        </is>
      </c>
    </row>
    <row r="16" ht="138" customHeight="1">
      <c r="A16" s="4" t="inlineStr">
        <is>
          <t>C4</t>
        </is>
      </c>
      <c r="B16" s="6" t="inlineStr">
        <is>
          <t>S2 T3 Group-activity product (own write-up)
Session 2 worksheet, Task 3: match three use cases to fit-for-purpose chains. They are a Bahraini small-business trade-finance escrow, a Bahraini dinar to Pakistani rupee money transfer, and a regional carbon-credit registry.</t>
        </is>
      </c>
      <c r="C16" s="4" t="inlineStr">
        <is>
          <t>13%</t>
        </is>
      </c>
      <c r="D16" s="6" t="inlineStr">
        <is>
          <t>All three are matched using the five criteria. Each match names the one criterion that decided it, with a reason.</t>
        </is>
      </c>
      <c r="E16" s="6" t="inlineStr">
        <is>
          <t>All three are matched to sensible chains, but the deciding criterion is missing or unexplained for one or more.</t>
        </is>
      </c>
      <c r="F16" s="6" t="inlineStr">
        <is>
          <t>Matches are missing, or chains are chosen by name or popularity with no criteria used.</t>
        </is>
      </c>
    </row>
    <row r="17" ht="151" customHeight="1">
      <c r="A17" s="4" t="inlineStr">
        <is>
          <t>C5</t>
        </is>
      </c>
      <c r="B17" s="6" t="inlineStr">
        <is>
          <t>T1 Reading comprehension (both sessions)
Task 1 in both worksheets. Session 1 asks what a smart contract can do, about the oracle problem, and about escrow risk. Session 2 asks about the deciding criterion, Schar's five layers, and a chain shortlist for the dinar to rupee transfer.</t>
        </is>
      </c>
      <c r="C17" s="4" t="inlineStr">
        <is>
          <t>16%</t>
        </is>
      </c>
      <c r="D17" s="6" t="inlineStr">
        <is>
          <t>Every question is answered in two or three sentences, in your own words. Each answer is correct and explains why, not only what.</t>
        </is>
      </c>
      <c r="E17" s="6" t="inlineStr">
        <is>
          <t>All questions are answered and broadly correct. Some answers are one line, repeat the reading, or skip the reason.</t>
        </is>
      </c>
      <c r="F17" s="6" t="inlineStr">
        <is>
          <t>Several questions are missing or wrong, or the answers are copied from the reading.</t>
        </is>
      </c>
    </row>
    <row r="18" ht="84" customHeight="1">
      <c r="A18" s="4" t="inlineStr">
        <is>
          <t>C6</t>
        </is>
      </c>
      <c r="B18" s="6" t="inlineStr">
        <is>
          <t>T4 Analysis / evaluation at NQF L8
Across the week: judging chains and contracts by criteria rather than by reputation.</t>
        </is>
      </c>
      <c r="C18" s="4" t="inlineStr">
        <is>
          <t>14%</t>
        </is>
      </c>
      <c r="D18" s="6" t="inlineStr">
        <is>
          <t>Makes and defends choices. It says which criterion decides, why it outweighs the others, and what the choice gives up.</t>
        </is>
      </c>
      <c r="E18" s="6" t="inlineStr">
        <is>
          <t>Some judgement is shown, but the answers mostly describe, or reasons are stated without support.</t>
        </is>
      </c>
      <c r="F18" s="6" t="inlineStr">
        <is>
          <t>Description only, or opinions given with no reasons.</t>
        </is>
      </c>
    </row>
    <row r="19" ht="84" customHeight="1">
      <c r="A19" s="4" t="inlineStr">
        <is>
          <t>C7</t>
        </is>
      </c>
      <c r="B19" s="6" t="inlineStr">
        <is>
          <t>T5 Bahrain / GCC grounding
Across the week: the Bahraini use cases in the tasks.</t>
        </is>
      </c>
      <c r="C19" s="4" t="inlineStr">
        <is>
          <t>10%</t>
        </is>
      </c>
      <c r="D19" s="6" t="inlineStr">
        <is>
          <t>Uses the Bahraini cases accurately, such as the dinar to rupee transfer and the escrow. Shows how the local setting, such as regulation, changes the chain choice.</t>
        </is>
      </c>
      <c r="E19" s="6" t="inlineStr">
        <is>
          <t>A correct Bahrain or GCC reference is made, but it could be removed without changing the answer.</t>
        </is>
      </c>
      <c r="F19" s="6" t="inlineStr">
        <is>
          <t>No Bahrain or GCC context, or a local fact that is wrong.</t>
        </is>
      </c>
    </row>
    <row r="20" ht="86" customHeight="1">
      <c r="A20" s="4" t="inlineStr">
        <is>
          <t>C8</t>
        </is>
      </c>
      <c r="B20" s="6" t="inlineStr">
        <is>
          <t>T6 Communication and academic conduct
Both worksheets: how clear your writing is, the length of each answer, your sources, and submission.</t>
        </is>
      </c>
      <c r="C20" s="4" t="inlineStr">
        <is>
          <t>8%</t>
        </is>
      </c>
      <c r="D20" s="6" t="inlineStr">
        <is>
          <t>Both worksheets are submitted. Answers are clear, plain and close to the expected length for each task. Every source you used is listed in Task 4. Listing is what is marked; APA 7th style is advised, not marked.</t>
        </is>
      </c>
      <c r="E20" s="6" t="inlineStr">
        <is>
          <t>Both worksheets are submitted and can be understood. Some answers are far too long or too short, or a source is missing.</t>
        </is>
      </c>
      <c r="F20" s="6" t="inlineStr">
        <is>
          <t>A worksheet is missing, answers are hard to follow, or sources were used but not listed.</t>
        </is>
      </c>
    </row>
    <row r="22">
      <c r="A22" s="3" t="inlineStr">
        <is>
          <t>Worked exemplar - what a good answer contains</t>
        </is>
      </c>
      <c r="B22" s="25" t="n"/>
      <c r="C22" s="25" t="n"/>
      <c r="D22" s="25" t="n"/>
      <c r="E22" s="25" t="n"/>
      <c r="F22" s="11" t="n"/>
    </row>
    <row r="23" ht="44" customHeight="1">
      <c r="A23" s="8" t="inlineStr">
        <is>
          <t>A good answer names the specific data feed, and a concrete control, as the flight-delay worked example does. There, the control is to require two independent providers to agree before the contract pays out.</t>
        </is>
      </c>
      <c r="B23" s="25" t="n"/>
      <c r="C23" s="25" t="n"/>
      <c r="D23" s="25" t="n"/>
      <c r="E23" s="25" t="n"/>
      <c r="F23" s="11" t="n"/>
    </row>
    <row r="25" ht="30" customHeight="1">
      <c r="A25" s="8" t="inlineStr">
        <is>
          <t>This week's evidence is judged on reasoning and the individual written products from both sessions.</t>
        </is>
      </c>
      <c r="B25" s="25" t="n"/>
      <c r="C25" s="25" t="n"/>
      <c r="D25" s="25" t="n"/>
      <c r="E25" s="25" t="n"/>
      <c r="F25" s="11" t="n"/>
    </row>
    <row r="27" ht="28" customHeight="1">
      <c r="A27" s="2" t="inlineStr">
        <is>
          <t>This worksheet contributes its weighted share to the A2 coursework total; the course result is decided on the overall course mark.</t>
        </is>
      </c>
      <c r="B27" s="25" t="n"/>
      <c r="C27" s="25" t="n"/>
      <c r="D27" s="25" t="n"/>
      <c r="E27" s="25" t="n"/>
      <c r="F27" s="11" t="n"/>
    </row>
  </sheetData>
  <mergeCells count="19">
    <mergeCell ref="B7:C7"/>
    <mergeCell ref="A27:F27"/>
    <mergeCell ref="D7:F7"/>
    <mergeCell ref="A2:F2"/>
    <mergeCell ref="A23:F23"/>
    <mergeCell ref="D9:F9"/>
    <mergeCell ref="A22:F22"/>
    <mergeCell ref="D8:F8"/>
    <mergeCell ref="B8:C8"/>
    <mergeCell ref="D5:F5"/>
    <mergeCell ref="B10:C10"/>
    <mergeCell ref="B9:C9"/>
    <mergeCell ref="D10:F10"/>
    <mergeCell ref="B6:C6"/>
    <mergeCell ref="B5:C5"/>
    <mergeCell ref="A1:F1"/>
    <mergeCell ref="D6:F6"/>
    <mergeCell ref="B4:C4"/>
    <mergeCell ref="A25:F25"/>
  </mergeCells>
  <pageMargins left="0.4" right="0.4"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E23"/>
  <sheetViews>
    <sheetView showGridLines="0" workbookViewId="0">
      <selection activeCell="A1" sqref="A1"/>
    </sheetView>
  </sheetViews>
  <sheetFormatPr baseColWidth="8" defaultRowHeight="15"/>
  <cols>
    <col width="26" customWidth="1" min="1" max="1"/>
    <col width="10" customWidth="1" min="2" max="2"/>
    <col width="12" customWidth="1" min="3" max="3"/>
    <col width="16" customWidth="1" min="4" max="4"/>
    <col width="52" customWidth="1" min="5" max="5"/>
  </cols>
  <sheetData>
    <row r="1">
      <c r="A1" s="9" t="inlineStr">
        <is>
          <t>IT8204 Blockchain and Cryptocurrency - Week 4: Smart Contracts for Business - and How to Read One  |  Choosing a Chain: a Five-Criterion Decision Framework - MARKING SHEET</t>
        </is>
      </c>
      <c r="B1" s="25" t="n"/>
      <c r="C1" s="25" t="n"/>
      <c r="D1" s="25" t="n"/>
      <c r="E1" s="11" t="n"/>
    </row>
    <row r="2"/>
    <row r="3">
      <c r="A3" s="5" t="inlineStr">
        <is>
          <t>Student name:</t>
        </is>
      </c>
      <c r="B3" s="10" t="inlineStr">
        <is>
          <t>Meqdad Muhana</t>
        </is>
      </c>
      <c r="C3" s="11" t="n"/>
    </row>
    <row r="4">
      <c r="A4" s="5" t="inlineStr">
        <is>
          <t>Student ID:</t>
        </is>
      </c>
      <c r="B4" s="10" t="inlineStr">
        <is>
          <t>202306213</t>
        </is>
      </c>
      <c r="C4" s="11" t="n"/>
    </row>
    <row r="5">
      <c r="A5" s="5" t="inlineStr">
        <is>
          <t>Date:</t>
        </is>
      </c>
      <c r="B5" s="10" t="inlineStr">
        <is>
          <t>2026-10-10</t>
        </is>
      </c>
      <c r="D5" s="5" t="inlineStr">
        <is>
          <t>Marker:</t>
        </is>
      </c>
      <c r="E5" s="10" t="inlineStr">
        <is>
          <t>B. Bukhowa</t>
        </is>
      </c>
    </row>
    <row r="6"/>
    <row r="7">
      <c r="A7" s="7" t="inlineStr">
        <is>
          <t>Criterion</t>
        </is>
      </c>
      <c r="B7" s="12" t="inlineStr">
        <is>
          <t>Weight %</t>
        </is>
      </c>
      <c r="C7" s="12" t="inlineStr">
        <is>
          <t>Score (0-5)</t>
        </is>
      </c>
      <c r="D7" s="12" t="inlineStr">
        <is>
          <t>Weighted</t>
        </is>
      </c>
      <c r="E7" s="7" t="inlineStr">
        <is>
          <t>Comment (cite the screenshot / page)</t>
        </is>
      </c>
    </row>
    <row r="8" ht="186" customHeight="1">
      <c r="A8" s="5" t="inlineStr">
        <is>
          <t>S1 T2 Individual build task</t>
        </is>
      </c>
      <c r="B8" s="13" t="n">
        <v>13</v>
      </c>
      <c r="C8" s="14" t="n">
        <v>4.5</v>
      </c>
      <c r="D8" s="15">
        <f>(C8/5)*B8</f>
        <v/>
      </c>
      <c r="E8" s="16" t="inlineStr">
        <is>
          <t>Your Session 1 Task 2 answer names a specific deployed contract, the Titan Relay Forwarder with its address, names outside data (gas price feeds and bundle bids from block builders), and gives one concrete control, a circuit breaker that halts execution when a fee value falls outside a safe range, which fits the risk you describe. However, your answer does not show where this fee data enters the contract you read, so the dependency stays a general claim rather than something read from the contract page or your screenshot. To improve further, you could point to the function that receives the fee value.</t>
        </is>
      </c>
    </row>
    <row r="9" ht="186" customHeight="1">
      <c r="A9" s="5" t="inlineStr">
        <is>
          <t>S2 T2 Individual build task</t>
        </is>
      </c>
      <c r="B9" s="13" t="n">
        <v>13</v>
      </c>
      <c r="C9" s="14" t="n">
        <v>5</v>
      </c>
      <c r="D9" s="15">
        <f>(C9/5)*B9</f>
        <v/>
      </c>
      <c r="E9" s="16" t="inlineStr">
        <is>
          <t>Your Session 2 grid for Ethereum with a layer 2 is complete, and every line is specific to that chain: batching transactions and posting compressed data to Ethereum, fast soft confirmation from the sequencer with settlement on layer 1, layer 1 improvement proposals beside foundation or token-holder control of each layer 2, sub-cent fees through blob space, and public rails that require off-chain customer checks by licensed firms. These are accurate points that would not fit a permissioned chain. To improve further, name one specific layer 2, such as Arbitrum, and source your figures.</t>
        </is>
      </c>
    </row>
    <row r="10" ht="186" customHeight="1">
      <c r="A10" s="5" t="inlineStr">
        <is>
          <t>S1 T3 Group-activity product (own write-up)</t>
        </is>
      </c>
      <c r="B10" s="13" t="n">
        <v>13</v>
      </c>
      <c r="C10" s="14" t="n">
        <v>5</v>
      </c>
      <c r="D10" s="15">
        <f>(C10/5)*B10</f>
        <v/>
      </c>
      <c r="E10" s="16" t="inlineStr">
        <is>
          <t>Your Session 1 Task 3 write-up is excellent. You read the Uniswap V3 SwapRouter, give its address, and translate exactInputSingle, exactInput, exactOutputSingle and exactOutput into business processes a manager could follow, such as spot exchange, multi-hop routing and exact invoice settlement. You explain the Swap event as an automatic receipt for accounting and audit. You name the price dependency and give one mitigation, a time-weighted average price, linked to manipulation by a single trader. To improve further, note that the Swap event is written by the pool contract that the router calls.</t>
        </is>
      </c>
    </row>
    <row r="11" ht="171" customHeight="1">
      <c r="A11" s="5" t="inlineStr">
        <is>
          <t>S2 T3 Group-activity product (own write-up)</t>
        </is>
      </c>
      <c r="B11" s="13" t="n">
        <v>13</v>
      </c>
      <c r="C11" s="14" t="n">
        <v>4.5</v>
      </c>
      <c r="D11" s="15">
        <f>(C11/5)*B11</f>
        <v/>
      </c>
      <c r="E11" s="16" t="inlineStr">
        <is>
          <t>Your Session 2 Task 3 grid is filled for all three cases, and your defences name one decider each with a strong reason: regulatory profile for the Fabric escrow, cost for the layer 2 remittance and governance for the Corda carbon registry. However, your grid labels regulatory profile as the 'Deciding Criterion' in the carbon-credit column, while your defence says governance decided it, so the decider for that case is stated in two different ways. To improve further, give the source of the throughput figures in your grid.</t>
        </is>
      </c>
    </row>
    <row r="12" ht="186" customHeight="1">
      <c r="A12" s="5" t="inlineStr">
        <is>
          <t>T1 Reading comprehension (both sessions)</t>
        </is>
      </c>
      <c r="B12" s="13" t="n">
        <v>16</v>
      </c>
      <c r="C12" s="14" t="n">
        <v>4.5</v>
      </c>
      <c r="D12" s="15">
        <f>(C12/5)*B12</f>
        <v/>
      </c>
      <c r="E12" s="16" t="inlineStr">
        <is>
          <t>Your reading answers are correct, in your own words, and well reasoned. In Session 1 you explain why a manipulated feed causes irreversible loss and require three independent feeds to agree for the escrow. In Session 2 you explain why regulatory profile outweighs speed for licensed institutions, and your remittance shortlist rests on fees, speed and finality. However, your Session 2 Q2 asks which one layer a compliance question usually attaches to, and you name both the settlement and the asset layer without choosing between them. To improve further, cite the extract page for one answer.</t>
        </is>
      </c>
    </row>
    <row r="13" ht="171" customHeight="1">
      <c r="A13" s="5" t="inlineStr">
        <is>
          <t>T4 Analysis / evaluation at NQF L8</t>
        </is>
      </c>
      <c r="B13" s="13" t="n">
        <v>14</v>
      </c>
      <c r="C13" s="14" t="n">
        <v>5</v>
      </c>
      <c r="D13" s="15">
        <f>(C13/5)*B13</f>
        <v/>
      </c>
      <c r="E13" s="16" t="inlineStr">
        <is>
          <t>Your judgement is excellent. Each Session 2 Task 3 defence explains why the decider outweighs the others and what is given up: access to open decentralised finance liquidity for the escrow, native banking privacy for the remittance, and free secondary trading for the carbon registry. Your Session 2 Q1 explains why supervisory compliance outweighs raw speed, and your remittance shortlist weighs fees against exchange-rate exposure. In Session 1 you choose one mitigation for each risk. To improve further, you could say what evidence would make one of your matches flip.</t>
        </is>
      </c>
    </row>
    <row r="14" ht="186" customHeight="1">
      <c r="A14" s="5" t="inlineStr">
        <is>
          <t>T5 Bahrain / GCC grounding</t>
        </is>
      </c>
      <c r="B14" s="13" t="n">
        <v>10</v>
      </c>
      <c r="C14" s="14" t="n">
        <v>5</v>
      </c>
      <c r="D14" s="15">
        <f>(C14/5)*B14</f>
        <v/>
      </c>
      <c r="E14" s="16" t="inlineStr">
        <is>
          <t>You use the local setting as a real reason. Your escrow defence argues that Central Bank of Bahrain secrecy and privacy rules make an escrow that exposes invoices to public nodes impossible, which is why Fabric's private channels win. Your remittance defence describes South Asian workers in Bahrain sending small amounts, which is why cost decides, and your carbon registry links to GCC sustainability targets. The local setting visibly changes your choices with a clear reason each time. To improve further, you could name the specific CBB module that sets those privacy duties.</t>
        </is>
      </c>
    </row>
    <row r="15" ht="141" customHeight="1">
      <c r="A15" s="5" t="inlineStr">
        <is>
          <t>T6 Communication and academic conduct</t>
        </is>
      </c>
      <c r="B15" s="13" t="n">
        <v>8</v>
      </c>
      <c r="C15" s="14" t="n">
        <v>5</v>
      </c>
      <c r="D15" s="15">
        <f>(C15/5)*B15</f>
        <v/>
      </c>
      <c r="E15" s="16" t="inlineStr">
        <is>
          <t>Both worksheets are submitted, your answers are clear, and Task 4 is complete on both sheets, listing the readings, the CBB rulebook and both Etherscan contracts you used. Your reading answers are about three sentences each, your Task 2 answer is four sentences, and your Task 3 write-up runs a little over half a page, which is within range. To improve further, shorten your Session 2 Task 3 defences by cutting the opening sentence, so each decider stands out.</t>
        </is>
      </c>
    </row>
    <row r="16">
      <c r="A16" s="17" t="inlineStr">
        <is>
          <t>TOTAL</t>
        </is>
      </c>
      <c r="B16" s="18">
        <f>SUM(B8:B15)</f>
        <v/>
      </c>
      <c r="C16" s="19" t="inlineStr"/>
      <c r="D16" s="20">
        <f>SUM(D8:D15)</f>
        <v/>
      </c>
      <c r="E16" s="21" t="inlineStr">
        <is>
          <t>Weights sum to 100; max weighted = 100.</t>
        </is>
      </c>
    </row>
    <row r="17">
      <c r="A17" s="22" t="inlineStr">
        <is>
          <t>Overall mark (out of 100)</t>
        </is>
      </c>
      <c r="B17" s="23">
        <f>D16</f>
        <v/>
      </c>
      <c r="C17" s="24" t="inlineStr">
        <is>
          <t>Weighted average of the criteria, out of 100. This worksheet contributes its weighted share to the A2 coursework total; the course result is decided on the overall course mark.</t>
        </is>
      </c>
      <c r="D17" s="25" t="n"/>
      <c r="E17" s="11" t="n"/>
    </row>
    <row r="18"/>
    <row r="19">
      <c r="A19" s="3" t="inlineStr">
        <is>
          <t>Overall feedback to the student</t>
        </is>
      </c>
      <c r="B19" s="25" t="n"/>
      <c r="C19" s="25" t="n"/>
      <c r="D19" s="25" t="n"/>
      <c r="E19" s="11" t="n"/>
    </row>
    <row r="20" ht="32" customHeight="1">
      <c r="A20" s="33" t="inlineStr">
        <is>
          <t>Meqdad, this is a strong submission with excellent analysis. Your Uniswap V3 write-up turns each swap function into a clear business process, and your Session 2 defences say why each deciding criterion outweighs the others and what each choice gives up, grounded in Bahraini regulation and the needs of workers sending money home. Your layer 2 grid is specific and accurate. Marks were held back in three places: your Task 2 answer does not show where the fee data enters the contract you read; your grid and your defence name different deciders for the carbon registry; and your Session 2 Q2 names two layers instead of choosing one. For the coming weeks, check that the contract or case you pick actually shows the feature the task asks about before you build your answer on it.</t>
        </is>
      </c>
      <c r="B20" s="26" t="n"/>
      <c r="C20" s="26" t="n"/>
      <c r="D20" s="26" t="n"/>
      <c r="E20" s="27" t="n"/>
    </row>
    <row r="21" ht="32" customHeight="1">
      <c r="A21" s="28" t="n"/>
      <c r="E21" s="29" t="n"/>
    </row>
    <row r="22" ht="32" customHeight="1">
      <c r="A22" s="28" t="n"/>
      <c r="E22" s="29" t="n"/>
    </row>
    <row r="23" ht="32" customHeight="1">
      <c r="A23" s="30" t="n"/>
      <c r="B23" s="31" t="n"/>
      <c r="C23" s="31" t="n"/>
      <c r="D23" s="31" t="n"/>
      <c r="E23" s="32" t="n"/>
    </row>
  </sheetData>
  <mergeCells count="6">
    <mergeCell ref="B3:C3"/>
    <mergeCell ref="A20:E23"/>
    <mergeCell ref="A19:E19"/>
    <mergeCell ref="A1:E1"/>
    <mergeCell ref="C17:E17"/>
    <mergeCell ref="B4:C4"/>
  </mergeCells>
  <pageMargins left="0.4" right="0.4"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bp-worksheet-mark config (JSON) - do not edit or unhide</t>
        </is>
      </c>
    </row>
    <row r="2">
      <c r="A2" t="inlineStr">
        <is>
          <t>{"course": "IT8204", "session": "Week 4", "topic": "Smart Contracts for Business - and How to Read One  |  Choosing a Chain: a Five-Criterion Decision Framework", "marking_sheet": "IT8204 Week 4 Marking Sheet v1.xlsx", "marking_tab": "Marking", "scale": "0-5 (decimals)", "pass_score": 3.0, "pct_formula": "score x 20", "total_model": "weighted_capped", "max_score": 5, "total_out_of": 100, "weight_sum": 100, "input_cells": {"student_name": "B3", "student_id": "B4", "date": "B5", "marker": "E5", "scores": ["C8", "C9", "C10", "C11", "C12", "C13", "C14", "C15"], "comments": ["E8", "E9", "E10", "E11", "E12", "E13", "E14", "E15"]}, "criteria": [{"row": 8, "name": "S1 T2 Individual build task", "weight": 13, "keywords": ["individual", "build", "task", "session", "worksheet", "contract", "read", "etherscan", "oracle", "dependency", "outside", "data", "relies", "mitigation"]}, {"row": 9, "name": "S2 T2 Individual build task", "weight": 13, "keywords": ["individual", "build", "task", "session", "worksheet", "five-criterion", "grid", "chain", "choice", "ethereum", "layer", "hyperledger", "fabric", "solana"]}, {"row": 10, "name": "S1 T3 Group-activity product (own write-up)", "weight": 13, "keywords": ["group-activity", "product", "write-up", "session", "worksheet", "task", "translate", "deployed", "uniswap", "compound", "contract", "business", "language"]}, {"row": 11, "name": "S2 T3 Group-activity product (own write-up)", "weight": 13, "keywords": ["group-activity", "product", "write-up", "session", "worksheet", "task", "match", "cases", "fit-for-purpose", "chains", "bahraini", "small-business", "trade-finance", "escrow"]}, {"row": 12, "name": "T1 Reading comprehension (both sessions)", "weight": 16, "keywords": ["reading", "comprehension", "sessions", "task", "worksheets", "session", "asks", "smart", "contract", "about", "oracle", "problem", "escrow", "risk"]}, {"row": 13, "name": "T4 Analysis / evaluation at NQF L8", "weight": 14, "keywords": ["analysis", "evaluation", "across", "week", "judging", "chains", "contracts", "criteria", "rather", "than", "reputation"]}, {"row": 14, "name": "T5 Bahrain / GCC grounding", "weight": 10, "keywords": ["bahrain", "grounding", "across", "week", "bahraini", "cases", "tasks"]}, {"row": 15, "name": "T6 Communication and academic conduct", "weight": 8, "keywords": ["communication", "academic", "conduct", "worksheets", "clear", "writing", "length", "answer", "sources", "submission"]}], "overall_pct_cell": "B17", "gates": [], "gate_rule": "For each lab: student ID in the submitted evidence AND the required completion screenshot; if either fails, that lab's evidence contributes 0 and is flagged."}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2026-10-03T06:07:41Z</dcterms:created>
  <dcterms:modified xmlns:dcterms="http://purl.org/dc/terms/" xmlns:xsi="http://www.w3.org/2001/XMLSchema-instance" xsi:type="dcterms:W3CDTF">2026-10-10T17:10:37Z</dcterms:modified>
</cp:coreProperties>
</file>