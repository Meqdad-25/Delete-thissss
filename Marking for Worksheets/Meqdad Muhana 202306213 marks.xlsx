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tudents)" sheetId="1" state="visible" r:id="rId1"/>
    <sheet xmlns:r="http://schemas.openxmlformats.org/officeDocument/2006/relationships" name="Marking" sheetId="2" state="visible" r:id="rId2"/>
    <sheet xmlns:r="http://schemas.openxmlformats.org/officeDocument/2006/relationships" name="_config" sheetId="3" state="hidden" r:id="rId3"/>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4"/>
    </font>
    <font>
      <name val="Arial"/>
      <i val="1"/>
      <color rgb="00000000"/>
      <sz val="9"/>
    </font>
    <font>
      <name val="Arial"/>
      <b val="1"/>
      <color rgb="00FFFFFF"/>
      <sz val="11"/>
    </font>
    <font>
      <name val="Arial"/>
      <b val="1"/>
      <color rgb="00000000"/>
      <sz val="10"/>
    </font>
    <font>
      <name val="Arial"/>
      <color rgb="00000000"/>
      <sz val="10"/>
    </font>
    <font>
      <name val="Arial"/>
      <color rgb="00000000"/>
      <sz val="9"/>
    </font>
    <font>
      <name val="Arial"/>
      <b val="1"/>
      <color rgb="00FFFFFF"/>
      <sz val="13"/>
    </font>
    <font>
      <name val="Arial"/>
      <sz val="10"/>
    </font>
    <font>
      <name val="Arial"/>
      <b val="1"/>
    </font>
  </fonts>
  <fills count="10">
    <fill>
      <patternFill/>
    </fill>
    <fill>
      <patternFill patternType="gray125"/>
    </fill>
    <fill>
      <patternFill patternType="solid">
        <fgColor rgb="001F3864"/>
      </patternFill>
    </fill>
    <fill>
      <patternFill patternType="solid">
        <fgColor rgb="00EAF1F8"/>
      </patternFill>
    </fill>
    <fill>
      <patternFill patternType="solid">
        <fgColor rgb="002E75B6"/>
      </patternFill>
    </fill>
    <fill>
      <patternFill patternType="solid">
        <fgColor rgb="00127D7A"/>
      </patternFill>
    </fill>
    <fill>
      <patternFill patternType="solid">
        <fgColor rgb="00FFF2CC"/>
      </patternFill>
    </fill>
    <fill>
      <patternFill patternType="solid">
        <fgColor rgb="00FFFFFF"/>
      </patternFill>
    </fill>
    <fill>
      <patternFill patternType="solid">
        <fgColor rgb="00DCE6F2"/>
      </patternFill>
    </fill>
    <fill>
      <patternFill patternType="solid">
        <fgColor rgb="00E2EFDA"/>
      </patternFill>
    </fill>
  </fills>
  <borders count="11">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
      <left style="thin">
        <color rgb="00BFBFBF"/>
      </left>
      <right/>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center"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3" fillId="5" borderId="1" applyAlignment="1" pivotButton="0" quotePrefix="0" xfId="0">
      <alignment horizontal="left" vertical="center" wrapText="1"/>
    </xf>
    <xf numFmtId="0" fontId="6" fillId="3" borderId="1" applyAlignment="1" pivotButton="0" quotePrefix="0" xfId="0">
      <alignment horizontal="left" vertical="top" wrapText="1"/>
    </xf>
    <xf numFmtId="0" fontId="7" fillId="2" borderId="1" applyAlignment="1" pivotButton="0" quotePrefix="0" xfId="0">
      <alignment horizontal="center" vertical="center" wrapText="1"/>
    </xf>
    <xf numFmtId="0" fontId="5" fillId="6" borderId="1" applyAlignment="1" pivotButton="0" quotePrefix="0" xfId="0">
      <alignment horizontal="left" vertical="top" wrapText="1"/>
    </xf>
    <xf numFmtId="0" fontId="0" fillId="0" borderId="4" pivotButton="0" quotePrefix="0" xfId="0"/>
    <xf numFmtId="0" fontId="3" fillId="5" borderId="1" applyAlignment="1" pivotButton="0" quotePrefix="0" xfId="0">
      <alignment horizontal="center" vertical="center" wrapText="1"/>
    </xf>
    <xf numFmtId="1" fontId="5" fillId="0" borderId="1" applyAlignment="1" pivotButton="0" quotePrefix="0" xfId="0">
      <alignment horizontal="center" vertical="top" wrapText="1"/>
    </xf>
    <xf numFmtId="164" fontId="5" fillId="6" borderId="1" applyAlignment="1" pivotButton="0" quotePrefix="0" xfId="0">
      <alignment horizontal="center" vertical="top" wrapText="1"/>
    </xf>
    <xf numFmtId="164" fontId="8" fillId="0" borderId="1" applyAlignment="1" pivotButton="0" quotePrefix="0" xfId="0">
      <alignment horizontal="center"/>
    </xf>
    <xf numFmtId="0" fontId="5" fillId="7" borderId="1" applyAlignment="1" pivotButton="0" quotePrefix="0" xfId="0">
      <alignment horizontal="left" vertical="top" wrapText="1"/>
    </xf>
    <xf numFmtId="0" fontId="4" fillId="8" borderId="1" applyAlignment="1" pivotButton="0" quotePrefix="0" xfId="0">
      <alignment horizontal="left" vertical="top" wrapText="1"/>
    </xf>
    <xf numFmtId="1" fontId="9" fillId="8" borderId="1" applyAlignment="1" pivotButton="0" quotePrefix="0" xfId="0">
      <alignment horizontal="center"/>
    </xf>
    <xf numFmtId="0" fontId="5" fillId="8" borderId="1" applyAlignment="1" pivotButton="0" quotePrefix="0" xfId="0">
      <alignment horizontal="left" vertical="top" wrapText="1"/>
    </xf>
    <xf numFmtId="164" fontId="9" fillId="8" borderId="1" applyAlignment="1" pivotButton="0" quotePrefix="0" xfId="0">
      <alignment horizontal="center"/>
    </xf>
    <xf numFmtId="0" fontId="2" fillId="8" borderId="1" applyAlignment="1" pivotButton="0" quotePrefix="0" xfId="0">
      <alignment horizontal="left" vertical="top" wrapText="1"/>
    </xf>
    <xf numFmtId="0" fontId="4" fillId="9" borderId="1" applyAlignment="1" pivotButton="0" quotePrefix="0" xfId="0">
      <alignment horizontal="left" vertical="top" wrapText="1"/>
    </xf>
    <xf numFmtId="164" fontId="9" fillId="9" borderId="1" applyAlignment="1" pivotButton="0" quotePrefix="0" xfId="0">
      <alignment horizontal="center"/>
    </xf>
    <xf numFmtId="0" fontId="2" fillId="9" borderId="1" applyAlignment="1" pivotButton="0" quotePrefix="0" xfId="0">
      <alignment horizontal="left" vertical="top" wrapText="1"/>
    </xf>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6" customWidth="1" min="1" max="1"/>
    <col width="30" customWidth="1" min="2" max="2"/>
    <col width="12" customWidth="1" min="3" max="3"/>
    <col width="40" customWidth="1" min="4" max="4"/>
    <col width="40" customWidth="1" min="5" max="5"/>
  </cols>
  <sheetData>
    <row r="1">
      <c r="A1" s="1" t="inlineStr">
        <is>
          <t>IT8204 Blockchain and Cryptocurrency - Session Week 1: Orientation and the FinTech Ecosystem Map  |  Reading the Chain: a First Block-Explorer Lab</t>
        </is>
      </c>
      <c r="B1" s="25" t="n"/>
      <c r="C1" s="25" t="n"/>
      <c r="D1" s="25" t="n"/>
      <c r="E1" s="11" t="n"/>
    </row>
    <row r="2" ht="48" customHeight="1">
      <c r="A2" s="2" t="inlineStr">
        <is>
          <t>Marking rubric for your session worksheet. You are scored 0-5 on each criterion (decimals allowed). Mark % = score x 20; your overall mark is the weighted average of the criteria, shown as a score out of 100. This worksheet contributes its weighted share to the A2 coursework total; the course pass is decided on the overall course mark.</t>
        </is>
      </c>
      <c r="B2" s="25" t="n"/>
      <c r="C2" s="25" t="n"/>
      <c r="D2" s="25" t="n"/>
      <c r="E2" s="11" t="n"/>
    </row>
    <row r="4">
      <c r="A4" s="3" t="inlineStr">
        <is>
          <t>Score</t>
        </is>
      </c>
      <c r="B4" s="3" t="inlineStr">
        <is>
          <t>Level</t>
        </is>
      </c>
      <c r="C4" s="11" t="n"/>
      <c r="D4" s="3" t="inlineStr">
        <is>
          <t>What it means</t>
        </is>
      </c>
      <c r="E4" s="3" t="inlineStr">
        <is>
          <t xml:space="preserve"> </t>
        </is>
      </c>
    </row>
    <row r="5">
      <c r="A5" s="4" t="inlineStr">
        <is>
          <t>0</t>
        </is>
      </c>
      <c r="B5" s="5" t="inlineStr">
        <is>
          <t>Missing</t>
        </is>
      </c>
      <c r="C5" s="11" t="n"/>
      <c r="D5" s="6" t="inlineStr">
        <is>
          <t>No evidence / not attempted.</t>
        </is>
      </c>
      <c r="E5" s="11" t="n"/>
    </row>
    <row r="6">
      <c r="A6" s="4" t="inlineStr">
        <is>
          <t>1</t>
        </is>
      </c>
      <c r="B6" s="5" t="inlineStr">
        <is>
          <t>Limited</t>
        </is>
      </c>
      <c r="C6" s="11" t="n"/>
      <c r="D6" s="6" t="inlineStr">
        <is>
          <t>Attempted but cannot give a basic explanation; mostly incorrect.</t>
        </is>
      </c>
      <c r="E6" s="11" t="n"/>
    </row>
    <row r="7">
      <c r="A7" s="4" t="inlineStr">
        <is>
          <t>2</t>
        </is>
      </c>
      <c r="B7" s="5" t="inlineStr">
        <is>
          <t>Basic</t>
        </is>
      </c>
      <c r="C7" s="11" t="n"/>
      <c r="D7" s="6" t="inlineStr">
        <is>
          <t>Below expectation; major gaps.</t>
        </is>
      </c>
      <c r="E7" s="11" t="n"/>
    </row>
    <row r="8">
      <c r="A8" s="4" t="inlineStr">
        <is>
          <t>3</t>
        </is>
      </c>
      <c r="B8" s="5" t="inlineStr">
        <is>
          <t>Reasonable</t>
        </is>
      </c>
      <c r="C8" s="11" t="n"/>
      <c r="D8" s="6" t="inlineStr">
        <is>
          <t>Meets the task; major enhancement still possible.</t>
        </is>
      </c>
      <c r="E8" s="11" t="n"/>
    </row>
    <row r="9">
      <c r="A9" s="4" t="inlineStr">
        <is>
          <t>4</t>
        </is>
      </c>
      <c r="B9" s="5" t="inlineStr">
        <is>
          <t>Very Good</t>
        </is>
      </c>
      <c r="C9" s="11" t="n"/>
      <c r="D9" s="6" t="inlineStr">
        <is>
          <t>Minor enhancement only; valid and well justified.</t>
        </is>
      </c>
      <c r="E9" s="11" t="n"/>
    </row>
    <row r="10">
      <c r="A10" s="4" t="inlineStr">
        <is>
          <t>5</t>
        </is>
      </c>
      <c r="B10" s="5" t="inlineStr">
        <is>
          <t>Excellent</t>
        </is>
      </c>
      <c r="C10" s="11" t="n"/>
      <c r="D10" s="6" t="inlineStr">
        <is>
          <t>Fully meets the task + critical insight / self-reflection.</t>
        </is>
      </c>
      <c r="E10" s="11" t="n"/>
    </row>
    <row r="12">
      <c r="A12" s="7" t="inlineStr">
        <is>
          <t>#</t>
        </is>
      </c>
      <c r="B12" s="7" t="inlineStr">
        <is>
          <t>Criterion</t>
        </is>
      </c>
      <c r="C12" s="7" t="inlineStr">
        <is>
          <t>Weight</t>
        </is>
      </c>
      <c r="D12" s="7" t="inlineStr">
        <is>
          <t>What 'Excellent' (5) looks like</t>
        </is>
      </c>
      <c r="E12" s="7" t="inlineStr">
        <is>
          <t>What 'Pass' (3) looks like</t>
        </is>
      </c>
    </row>
    <row r="13" ht="84" customHeight="1">
      <c r="A13" s="4" t="inlineStr">
        <is>
          <t>C1</t>
        </is>
      </c>
      <c r="B13" s="6" t="inlineStr">
        <is>
          <t>S1 T2 Individual build task
Session 1 build task: Place these three ecosystem actors on the ecosystem map and justify each placement: a crypto exchange, an open-bankin....</t>
        </is>
      </c>
      <c r="C13" s="4" t="inlineStr">
        <is>
          <t>13%</t>
        </is>
      </c>
      <c r="D13" s="6" t="inlineStr">
        <is>
          <t>Completed accurately and fully for session 1, with correct reasoning.</t>
        </is>
      </c>
      <c r="E13" s="6" t="inlineStr">
        <is>
          <t>Completed with the main idea correct, though some detail or justification is missing.</t>
        </is>
      </c>
    </row>
    <row r="14" ht="84" customHeight="1">
      <c r="A14" s="4" t="inlineStr">
        <is>
          <t>C2</t>
        </is>
      </c>
      <c r="B14" s="6" t="inlineStr">
        <is>
          <t>S2 T2 Individual build task
Session 2 build task: For one real transaction you viewed, complete the does/does-not line for at least four fields: what does each field t....</t>
        </is>
      </c>
      <c r="C14" s="4" t="inlineStr">
        <is>
          <t>13%</t>
        </is>
      </c>
      <c r="D14" s="6" t="inlineStr">
        <is>
          <t>Completed accurately and fully for session 2, with correct reasoning.</t>
        </is>
      </c>
      <c r="E14" s="6" t="inlineStr">
        <is>
          <t>Completed with the main idea correct, though some detail or justification is missing.</t>
        </is>
      </c>
    </row>
    <row r="15" ht="84" customHeight="1">
      <c r="A15" s="4" t="inlineStr">
        <is>
          <t>C3</t>
        </is>
      </c>
      <c r="B15" s="6" t="inlineStr">
        <is>
          <t>S1 T3 Group-activity product (own write-up)
Session 1 group activity: Your pair task: place the firm. Own product, on task and evidenced.</t>
        </is>
      </c>
      <c r="C15" s="4" t="inlineStr">
        <is>
          <t>13%</t>
        </is>
      </c>
      <c r="D15" s="6" t="inlineStr">
        <is>
          <t>A complete, well-evidenced individual product that fully meets the session 1 brief.</t>
        </is>
      </c>
      <c r="E15" s="6" t="inlineStr">
        <is>
          <t>An individual product that meets the brief, with some gaps in evidence or completeness.</t>
        </is>
      </c>
    </row>
    <row r="16" ht="84" customHeight="1">
      <c r="A16" s="4" t="inlineStr">
        <is>
          <t>C4</t>
        </is>
      </c>
      <c r="B16" s="6" t="inlineStr">
        <is>
          <t>S2 T3 Group-activity product (own write-up)
Session 2 group activity: Your pair task: read a real transaction. Own product, on task and evidenced.</t>
        </is>
      </c>
      <c r="C16" s="4" t="inlineStr">
        <is>
          <t>13%</t>
        </is>
      </c>
      <c r="D16" s="6" t="inlineStr">
        <is>
          <t>A complete, well-evidenced individual product that fully meets the session 2 brief.</t>
        </is>
      </c>
      <c r="E16" s="6" t="inlineStr">
        <is>
          <t>An individual product that meets the brief, with some gaps in evidence or completeness.</t>
        </is>
      </c>
    </row>
    <row r="17" ht="84" customHeight="1">
      <c r="A17" s="4" t="inlineStr">
        <is>
          <t>C5</t>
        </is>
      </c>
      <c r="B17" s="6" t="inlineStr">
        <is>
          <t>T1 Reading comprehension (both sessions)
Answers the guiding questions for Orientation and the FinTech Ecosystem Map and Reading the Chain: a First Block-Explorer Lab, showing grasp of each core idea.</t>
        </is>
      </c>
      <c r="C17" s="4" t="inlineStr">
        <is>
          <t>16%</t>
        </is>
      </c>
      <c r="D17" s="6" t="inlineStr">
        <is>
          <t>All guiding questions across both sessions answered correctly in the student's own words.</t>
        </is>
      </c>
      <c r="E17" s="6" t="inlineStr">
        <is>
          <t>Questions answered and broadly correct, though one session is thin or loosely explained.</t>
        </is>
      </c>
    </row>
    <row r="18" ht="84" customHeight="1">
      <c r="A18" s="4" t="inlineStr">
        <is>
          <t>C6</t>
        </is>
      </c>
      <c r="B18" s="6" t="inlineStr">
        <is>
          <t>T4 Analysis / evaluation at NQF L8
Argues, analyses or evaluates across the week - not just describes; reasoning is defensible.</t>
        </is>
      </c>
      <c r="C18" s="4" t="inlineStr">
        <is>
          <t>14%</t>
        </is>
      </c>
      <c r="D18" s="6" t="inlineStr">
        <is>
          <t>A clear, defensible analysis or evaluation with reasons, showing L8-level judgement.</t>
        </is>
      </c>
      <c r="E18" s="6" t="inlineStr">
        <is>
          <t>Some analysis present, but leans toward description or asserts without full justification.</t>
        </is>
      </c>
    </row>
    <row r="19" ht="84" customHeight="1">
      <c r="A19" s="4" t="inlineStr">
        <is>
          <t>C7</t>
        </is>
      </c>
      <c r="B19" s="6" t="inlineStr">
        <is>
          <t>T5 Bahrain / GCC grounding
Uses an accurate Bahrain or GCC anchor relevant to the week's tasks.</t>
        </is>
      </c>
      <c r="C19" s="4" t="inlineStr">
        <is>
          <t>10%</t>
        </is>
      </c>
      <c r="D19" s="6" t="inlineStr">
        <is>
          <t>A relevant Bahrain or GCC anchor used accurately and woven into the argument.</t>
        </is>
      </c>
      <c r="E19" s="6" t="inlineStr">
        <is>
          <t>An anchor mentioned and broadly correct, if loosely connected.</t>
        </is>
      </c>
    </row>
    <row r="20" ht="84" customHeight="1">
      <c r="A20" s="4" t="inlineStr">
        <is>
          <t>C8</t>
        </is>
      </c>
      <c r="B20" s="6" t="inlineStr">
        <is>
          <t>T6 Communication and academic conduct
Clear, plain, in scope; both weekly worksheets submitted; sources listed.</t>
        </is>
      </c>
      <c r="C20" s="4" t="inlineStr">
        <is>
          <t>8%</t>
        </is>
      </c>
      <c r="D20" s="6" t="inlineStr">
        <is>
          <t>Clear, plain and well organised; within scope; both weekly worksheets present; sources listed.</t>
        </is>
      </c>
      <c r="E20" s="6" t="inlineStr">
        <is>
          <t>Understandable overall; both weekly worksheets present; most sources listed.</t>
        </is>
      </c>
    </row>
    <row r="22">
      <c r="A22" s="3" t="inlineStr">
        <is>
          <t>Worked exemplar - what a good answer contains</t>
        </is>
      </c>
      <c r="B22" s="25" t="n"/>
      <c r="C22" s="25" t="n"/>
      <c r="D22" s="25" t="n"/>
      <c r="E22" s="11" t="n"/>
    </row>
    <row r="23" ht="44" customHeight="1">
      <c r="A23" s="8" t="inlineStr">
        <is>
          <t>A good placement gives a function-based reason - for example, an exchange sits between customers and the blockchain network because it converts money to crypto-assets and holds them under CBB rules; the worked example applies the same logic to a remittance app.</t>
        </is>
      </c>
      <c r="B23" s="25" t="n"/>
      <c r="C23" s="25" t="n"/>
      <c r="D23" s="25" t="n"/>
      <c r="E23" s="11" t="n"/>
    </row>
    <row r="25" ht="30" customHeight="1">
      <c r="A25" s="8" t="inlineStr">
        <is>
          <t>This week's evidence is judged on reasoning and the individual written products from both sessions.</t>
        </is>
      </c>
      <c r="B25" s="25" t="n"/>
      <c r="C25" s="25" t="n"/>
      <c r="D25" s="25" t="n"/>
      <c r="E25" s="11" t="n"/>
    </row>
    <row r="27" ht="28" customHeight="1">
      <c r="A27" s="2" t="inlineStr">
        <is>
          <t>This worksheet contributes its weighted share to the A2 coursework total; the course pass is decided on the overall course mark.</t>
        </is>
      </c>
      <c r="B27" s="25" t="n"/>
      <c r="C27" s="25" t="n"/>
      <c r="D27" s="25" t="n"/>
      <c r="E27" s="11" t="n"/>
    </row>
  </sheetData>
  <mergeCells count="19">
    <mergeCell ref="D10:E10"/>
    <mergeCell ref="B7:C7"/>
    <mergeCell ref="A1:E1"/>
    <mergeCell ref="D6:E6"/>
    <mergeCell ref="A25:E25"/>
    <mergeCell ref="B8:C8"/>
    <mergeCell ref="A27:E27"/>
    <mergeCell ref="D7:E7"/>
    <mergeCell ref="A2:E2"/>
    <mergeCell ref="B10:C10"/>
    <mergeCell ref="A23:E23"/>
    <mergeCell ref="B9:C9"/>
    <mergeCell ref="A22:E22"/>
    <mergeCell ref="D9:E9"/>
    <mergeCell ref="D8:E8"/>
    <mergeCell ref="B6:C6"/>
    <mergeCell ref="B5:C5"/>
    <mergeCell ref="D5:E5"/>
    <mergeCell ref="B4:C4"/>
  </mergeCells>
  <pageMargins left="0.4" right="0.4"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23"/>
  <sheetViews>
    <sheetView showGridLines="0" workbookViewId="0">
      <selection activeCell="A1" sqref="A1"/>
    </sheetView>
  </sheetViews>
  <sheetFormatPr baseColWidth="8" defaultRowHeight="15"/>
  <cols>
    <col width="26" customWidth="1" min="1" max="1"/>
    <col width="10" customWidth="1" min="2" max="2"/>
    <col width="12" customWidth="1" min="3" max="3"/>
    <col width="16" customWidth="1" min="4" max="4"/>
    <col width="52" customWidth="1" min="5" max="5"/>
  </cols>
  <sheetData>
    <row r="1">
      <c r="A1" s="9" t="inlineStr">
        <is>
          <t>IT8204 Blockchain and Cryptocurrency - Session Week 1: Orientation and the FinTech Ecosystem Map  |  Reading the Chain: a First Block-Explorer Lab - MARKING SHEET</t>
        </is>
      </c>
      <c r="B1" s="25" t="n"/>
      <c r="C1" s="25" t="n"/>
      <c r="D1" s="25" t="n"/>
      <c r="E1" s="11" t="n"/>
    </row>
    <row r="2"/>
    <row r="3">
      <c r="A3" s="5" t="inlineStr">
        <is>
          <t>Student name:</t>
        </is>
      </c>
      <c r="B3" s="10" t="inlineStr">
        <is>
          <t>Meqdad Muhana</t>
        </is>
      </c>
      <c r="C3" s="11" t="n"/>
    </row>
    <row r="4">
      <c r="A4" s="5" t="inlineStr">
        <is>
          <t>Student ID:</t>
        </is>
      </c>
      <c r="B4" s="10" t="inlineStr">
        <is>
          <t>202306213</t>
        </is>
      </c>
      <c r="C4" s="11" t="n"/>
    </row>
    <row r="5">
      <c r="A5" s="5" t="inlineStr">
        <is>
          <t>Date:</t>
        </is>
      </c>
      <c r="B5" s="10" t="inlineStr">
        <is>
          <t>2026-09-19</t>
        </is>
      </c>
      <c r="D5" s="5" t="inlineStr">
        <is>
          <t>Marker:</t>
        </is>
      </c>
      <c r="E5" s="10" t="inlineStr">
        <is>
          <t>B. Bukhowa</t>
        </is>
      </c>
    </row>
    <row r="6"/>
    <row r="7">
      <c r="A7" s="7" t="inlineStr">
        <is>
          <t>Criterion</t>
        </is>
      </c>
      <c r="B7" s="12" t="inlineStr">
        <is>
          <t>Weight %</t>
        </is>
      </c>
      <c r="C7" s="12" t="inlineStr">
        <is>
          <t>Score (0-5)</t>
        </is>
      </c>
      <c r="D7" s="12" t="inlineStr">
        <is>
          <t>Weighted</t>
        </is>
      </c>
      <c r="E7" s="7" t="inlineStr">
        <is>
          <t>Comment (cite the screenshot / page)</t>
        </is>
      </c>
    </row>
    <row r="8" ht="171" customHeight="1">
      <c r="A8" s="5" t="inlineStr">
        <is>
          <t>S1 T2 Individual build task</t>
        </is>
      </c>
      <c r="B8" s="13" t="n">
        <v>13</v>
      </c>
      <c r="C8" s="14" t="n">
        <v>3.5</v>
      </c>
      <c r="D8" s="15">
        <f>(C8/5)*B8</f>
        <v/>
      </c>
      <c r="E8" s="16" t="inlineStr">
        <is>
          <t>Your Session 1 Task 2 puts all three actors exactly where the taught map puts them: the API platform with the FinTech start-ups, the exchange with exchanges and wallets, and the CBB as the regulator for the financial sector. That accuracy is worth having. The justifications are thin, however. Each is a single clause, none connects the placement back to the verification and networking cost ideas from Task 1, and nothing is said about why the regulator joins to the other actors rather than to the shared ledger at the centre.</t>
        </is>
      </c>
    </row>
    <row r="9" ht="171" customHeight="1">
      <c r="A9" s="5" t="inlineStr">
        <is>
          <t>S2 T2 Individual build task</t>
        </is>
      </c>
      <c r="B9" s="13" t="n">
        <v>13</v>
      </c>
      <c r="C9" s="14" t="n">
        <v>2.5</v>
      </c>
      <c r="D9" s="15">
        <f>(C9/5)*B9</f>
        <v/>
      </c>
      <c r="E9" s="16" t="inlineStr">
        <is>
          <t>Your Session 2 Task 2 identifies four real fields from a transaction you actually opened, and the hash, gas price, status and confirmations are each explained correctly, with the confirmations line showing you understood what depth of burial means. The task asked for a does and a does-not line for each field, however, and only the hash carries the does-not half. Gas price, status and confirmations are described but never tested for what they cannot show, so the point of the exercise, the limits of explorer evidence, is only partly made.</t>
        </is>
      </c>
    </row>
    <row r="10" ht="171" customHeight="1">
      <c r="A10" s="5" t="inlineStr">
        <is>
          <t>S1 T3 Group-activity product (own write-up)</t>
        </is>
      </c>
      <c r="B10" s="13" t="n">
        <v>13</v>
      </c>
      <c r="C10" s="14" t="n">
        <v>3.5</v>
      </c>
      <c r="D10" s="15">
        <f>(C10/5)*B10</f>
        <v/>
      </c>
      <c r="E10" s="16" t="inlineStr">
        <is>
          <t>Your Session 1 Task 3 does the thing the task most wanted. You connect Beyon Money back to the two cost categories explicitly, explaining that an existing global blockchain network removes the need for individual banking partnerships and that a shared ledger cuts reconciliation effort between partners. The SwiftX and stablecoin detail is a good find. The write-up is incomplete, though. It is well below the length asked for, the 2022 date carries no source, and the regulatory framing stays general, with no mention of the sandbox or the Crypto-asset Module.</t>
        </is>
      </c>
    </row>
    <row r="11" ht="186" customHeight="1">
      <c r="A11" s="5" t="inlineStr">
        <is>
          <t>S2 T3 Group-activity product (own write-up)</t>
        </is>
      </c>
      <c r="B11" s="13" t="n">
        <v>13</v>
      </c>
      <c r="C11" s="14" t="n">
        <v>4.5</v>
      </c>
      <c r="D11" s="15">
        <f>(C11/5)*B11</f>
        <v/>
      </c>
      <c r="E11" s="16" t="inlineStr">
        <is>
          <t>Your Session 2 Task 3 is the strongest part of this submission and it delivers both required items properly. The USDT transfer is documented with its hash, block, timestamp, confirmations, fee and gas price, and you then treat the Tether contract interaction separately, explaining the transfer function and the recipient in plain words. Your cannot-prove line is the best in this group, because the point that the explorer cannot show whether Rainbet credited the account is concrete rather than generic. What is missing is a little interpretation of why the value field reads zero.</t>
        </is>
      </c>
    </row>
    <row r="12" ht="171" customHeight="1">
      <c r="A12" s="5" t="inlineStr">
        <is>
          <t>T1 Reading comprehension (both sessions)</t>
        </is>
      </c>
      <c r="B12" s="13" t="n">
        <v>16</v>
      </c>
      <c r="C12" s="14" t="n">
        <v>3.5</v>
      </c>
      <c r="D12" s="15">
        <f>(C12/5)*B12</f>
        <v/>
      </c>
      <c r="E12" s="16" t="inlineStr">
        <is>
          <t>Your answers are accurate across both sessions. In Session 2 you give the exact distinction the lab is built on, that the signature proves control while addresses, fee and hash only describe the transfer, and your Session 1 remittance answer covers both cost types rather than one. Task 1 Q3 raises the accountability question and names the CBB. The answers are written as compressed fragments, however, several of them quoting the extract's own wording in quotation marks rather than your own, so understanding is indicated but not demonstrated in your words.</t>
        </is>
      </c>
    </row>
    <row r="13" ht="171" customHeight="1">
      <c r="A13" s="5" t="inlineStr">
        <is>
          <t>T4 Analysis / evaluation at NQF L8</t>
        </is>
      </c>
      <c r="B13" s="13" t="n">
        <v>14</v>
      </c>
      <c r="C13" s="14" t="n">
        <v>3</v>
      </c>
      <c r="D13" s="15">
        <f>(C13/5)*B13</f>
        <v/>
      </c>
      <c r="E13" s="16" t="inlineStr">
        <is>
          <t>You link mechanism to consequence well. In Session 1 Task 3 you do not just say Beyon Money uses a blockchain network; you say which cost each feature removes and why, which is the right analytical habit. In Session 2 you notice that the value field reads zero because a token rather than ether moved, a detail many missed. The weighing is thin, however. Nothing in either session tests an alternative explanation or judges how strong the evidence is, and at this level that comparison is what separates analysis from accurate description.</t>
        </is>
      </c>
    </row>
    <row r="14" ht="171" customHeight="1">
      <c r="A14" s="5" t="inlineStr">
        <is>
          <t>T5 Bahrain / GCC grounding</t>
        </is>
      </c>
      <c r="B14" s="13" t="n">
        <v>10</v>
      </c>
      <c r="C14" s="14" t="n">
        <v>3</v>
      </c>
      <c r="D14" s="15">
        <f>(C14/5)*B14</f>
        <v/>
      </c>
      <c r="E14" s="16" t="inlineStr">
        <is>
          <t>Your Bahraini grounding is genuine. Beyon Money is a sound choice, you connect it to CBB-approved frameworks and to the Batelco local presence as the reason trust transferred quickly, and you cite the CBB and Beyon websites rather than relying on secondary summaries. The detail is limited, however. No regulatory milestone is dated, so the June 2017 sandbox and the Crypto-asset Module of 21 February 2019 never appear, and the 2022 founding date for Beyon Money is asserted without a source. Dated facts are what make a regulatory argument defensible.</t>
        </is>
      </c>
    </row>
    <row r="15" ht="171" customHeight="1">
      <c r="A15" s="5" t="inlineStr">
        <is>
          <t>T6 Communication and academic conduct</t>
        </is>
      </c>
      <c r="B15" s="13" t="n">
        <v>8</v>
      </c>
      <c r="C15" s="14" t="n">
        <v>3</v>
      </c>
      <c r="D15" s="15">
        <f>(C15/5)*B15</f>
        <v/>
      </c>
      <c r="E15" s="16" t="inlineStr">
        <is>
          <t>Your Session 2 work is well documented. You give the exact transaction URLs and the Tether contract address, so a reader can open everything you describe and check it, which is exactly right. Session 1 is weaker. Several answers are written as sentence fragments with quotation marks lifted straight from the extract, the sources are listed as slides and class notes with no detail, and Session 2 Task 2 is laid out as loose lines rather than in the does and does-not format requested. Write answers as complete sentences of your own.</t>
        </is>
      </c>
    </row>
    <row r="16">
      <c r="A16" s="17" t="inlineStr">
        <is>
          <t>TOTAL</t>
        </is>
      </c>
      <c r="B16" s="18">
        <f>SUM(B8:B15)</f>
        <v/>
      </c>
      <c r="C16" s="19" t="inlineStr"/>
      <c r="D16" s="20">
        <f>SUM(D8:D15)</f>
        <v/>
      </c>
      <c r="E16" s="21" t="inlineStr">
        <is>
          <t>Weights sum to 100; max weighted = 100.</t>
        </is>
      </c>
    </row>
    <row r="17">
      <c r="A17" s="22" t="inlineStr">
        <is>
          <t>Overall mark (out of 100)</t>
        </is>
      </c>
      <c r="B17" s="23">
        <f>D16</f>
        <v/>
      </c>
      <c r="C17" s="24" t="inlineStr">
        <is>
          <t>Weighted average of the criteria, out of 100. This worksheet contributes its weighted share to the A2 coursework total; the course pass is decided on the overall course mark.</t>
        </is>
      </c>
      <c r="D17" s="25" t="n"/>
      <c r="E17" s="11" t="n"/>
    </row>
    <row r="18"/>
    <row r="19">
      <c r="A19" s="3" t="inlineStr">
        <is>
          <t>Overall feedback to the student</t>
        </is>
      </c>
      <c r="B19" s="25" t="n"/>
      <c r="C19" s="25" t="n"/>
      <c r="D19" s="25" t="n"/>
      <c r="E19" s="11" t="n"/>
    </row>
    <row r="20" ht="22" customHeight="1">
      <c r="A20" s="16" t="inlineStr">
        <is>
          <t>Your Session 2 work is the strongest part of this submission. Task 3 delivers both required items properly: a real USDT transfer documented with its hash, block, timestamp and fee, and then the Tether contract interaction explained separately in plain words. Your point that the explorer cannot show whether Rainbet credited the payment to the account is the best cannot-prove line in this group, because it is concrete rather than generic, and you cite the exact transaction URLs so everything can be checked. Marks were held back by compression and by missing detail. Many Task 1 answers are fragments that quote the extract wording rather than your own. Session 2 Task 2 gives the does-not half for only one of the four fields. Your Session 1 why-now is well below the length asked for, no regulatory milestone is dated anywhere, and the Session 1 sources are listed only as slides and class notes. For the coming weeks, write in full sentences of your own and date every regulatory claim you rely on.</t>
        </is>
      </c>
      <c r="B20" s="26" t="n"/>
      <c r="C20" s="26" t="n"/>
      <c r="D20" s="26" t="n"/>
      <c r="E20" s="27" t="n"/>
    </row>
    <row r="21" ht="22" customHeight="1">
      <c r="A21" s="28" t="n"/>
      <c r="E21" s="29" t="n"/>
    </row>
    <row r="22" ht="22" customHeight="1">
      <c r="A22" s="28" t="n"/>
      <c r="E22" s="29" t="n"/>
    </row>
    <row r="23" ht="22" customHeight="1">
      <c r="A23" s="30" t="n"/>
      <c r="B23" s="31" t="n"/>
      <c r="C23" s="31" t="n"/>
      <c r="D23" s="31" t="n"/>
      <c r="E23" s="32" t="n"/>
    </row>
  </sheetData>
  <mergeCells count="6">
    <mergeCell ref="B3:C3"/>
    <mergeCell ref="A20:E23"/>
    <mergeCell ref="A19:E19"/>
    <mergeCell ref="A1:E1"/>
    <mergeCell ref="C17:E17"/>
    <mergeCell ref="B4:C4"/>
  </mergeCells>
  <pageMargins left="0.4" right="0.4"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bp-worksheet-mark config (JSON) - do not edit or unhide</t>
        </is>
      </c>
    </row>
    <row r="2">
      <c r="A2" t="inlineStr">
        <is>
          <t>{"course": "IT8204", "session": "Week 1", "topic": "Orientation and the FinTech Ecosystem Map  |  Reading the Chain: a First Block-Explorer Lab", "marking_sheet": "IT8204-Week1-MarkingSheet-v1.xlsx", "marking_tab": "Marking", "scale": "0-5 (decimals)", "pass_score": 3.0, "pct_formula": "score x 20", "total_model": "weighted_capped", "max_score": 5, "total_out_of": 100, "weight_sum": 100, "input_cells": {"student_name": "B3", "student_id": "B4", "date": "B5", "marker": "E5", "scores": ["C8", "C9", "C10", "C11", "C12", "C13", "C14", "C15"], "comments": ["E8", "E9", "E10", "E11", "E12", "E13", "E14", "E15"]}, "criteria": [{"row": 8, "name": "S1 T2 Individual build task", "weight": 13, "keywords": ["individual", "build", "task", "session", "place", "these", "ecosystem", "actors", "justify", "placement", "crypto", "exchange", "open-bankin"]}, {"row": 9, "name": "S2 T2 Individual build task", "weight": 13, "keywords": ["individual", "build", "task", "session", "real", "transaction", "viewed", "complete", "does", "does-not", "line", "least", "fields", "field"]}, {"row": 10, "name": "S1 T3 Group-activity product (own write-up)", "weight": 13, "keywords": ["group-activity", "product", "write-up", "session", "group", "activity", "pair", "task", "place", "firm", "evidenced"]}, {"row": 11, "name": "S2 T3 Group-activity product (own write-up)", "weight": 13, "keywords": ["group-activity", "product", "write-up", "session", "group", "activity", "pair", "task", "read", "real", "transaction", "evidenced"]}, {"row": 12, "name": "T1 Reading comprehension (both sessions)", "weight": 16, "keywords": ["reading", "comprehension", "sessions", "answers", "guiding", "questions", "orientation", "fintech", "ecosystem", "chain", "first", "block-explorer", "grasp", "core"]}, {"row": 13, "name": "T4 Analysis / evaluation at NQF L8", "weight": 14, "keywords": ["analysis", "evaluation", "argues", "analyses", "evaluates", "across", "week", "just", "describes", "reasoning", "defensible"]}, {"row": 14, "name": "T5 Bahrain / GCC grounding", "weight": 10, "keywords": ["bahrain", "grounding", "uses", "accurate", "anchor", "relevant", "week", "tasks"]}, {"row": 15, "name": "T6 Communication and academic conduct", "weight": 8, "keywords": ["communication", "academic", "conduct", "clear", "plain", "scope", "weekly", "worksheets", "submitted", "sources", "listed"]}], "overall_pct_cell": "B17", "gates": [], "gate_rule": "For each lab: student ID in the submitted evidence AND the required completion screenshot; if either fails, that lab's evidence contributes 0 and is flagged."}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2026-09-12T11:55:51Z</dcterms:created>
  <dcterms:modified xmlns:dcterms="http://purl.org/dc/terms/" xmlns:xsi="http://www.w3.org/2001/XMLSchema-instance" xsi:type="dcterms:W3CDTF">2026-09-19T09:55:24Z</dcterms:modified>
</cp:coreProperties>
</file>