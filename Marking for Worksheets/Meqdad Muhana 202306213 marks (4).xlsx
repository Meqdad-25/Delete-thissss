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bric (students)" sheetId="1" state="visible" r:id="rId1"/>
    <sheet xmlns:r="http://schemas.openxmlformats.org/officeDocument/2006/relationships" name="Marking" sheetId="2" state="visible" r:id="rId2"/>
    <sheet xmlns:r="http://schemas.openxmlformats.org/officeDocument/2006/relationships" name="_config" sheetId="3" state="hidden" r:id="rId3"/>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FFFFFF"/>
      <sz val="14"/>
    </font>
    <font>
      <name val="Arial"/>
      <i val="1"/>
      <color rgb="00000000"/>
      <sz val="9"/>
    </font>
    <font>
      <name val="Arial"/>
      <b val="1"/>
      <color rgb="00FFFFFF"/>
      <sz val="11"/>
    </font>
    <font>
      <name val="Arial"/>
      <b val="1"/>
      <color rgb="00000000"/>
      <sz val="10"/>
    </font>
    <font>
      <name val="Arial"/>
      <color rgb="00000000"/>
      <sz val="10"/>
    </font>
    <font>
      <name val="Arial"/>
      <color rgb="00000000"/>
      <sz val="9"/>
    </font>
    <font>
      <name val="Arial"/>
      <b val="1"/>
      <color rgb="00FFFFFF"/>
      <sz val="13"/>
    </font>
    <font>
      <name val="Arial"/>
      <sz val="10"/>
    </font>
    <font>
      <name val="Arial"/>
      <b val="1"/>
    </font>
  </fonts>
  <fills count="10">
    <fill>
      <patternFill/>
    </fill>
    <fill>
      <patternFill patternType="gray125"/>
    </fill>
    <fill>
      <patternFill patternType="solid">
        <fgColor rgb="001F3864"/>
      </patternFill>
    </fill>
    <fill>
      <patternFill patternType="solid">
        <fgColor rgb="00EAF1F8"/>
      </patternFill>
    </fill>
    <fill>
      <patternFill patternType="solid">
        <fgColor rgb="002E75B6"/>
      </patternFill>
    </fill>
    <fill>
      <patternFill patternType="solid">
        <fgColor rgb="00127D7A"/>
      </patternFill>
    </fill>
    <fill>
      <patternFill patternType="solid">
        <fgColor rgb="00FFF2CC"/>
      </patternFill>
    </fill>
    <fill>
      <patternFill patternType="solid">
        <fgColor rgb="00FFFFFF"/>
      </patternFill>
    </fill>
    <fill>
      <patternFill patternType="solid">
        <fgColor rgb="00DCE6F2"/>
      </patternFill>
    </fill>
    <fill>
      <patternFill patternType="solid">
        <fgColor rgb="00E2EFDA"/>
      </patternFill>
    </fill>
  </fills>
  <borders count="11">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
      <left style="thin">
        <color rgb="00BFBFBF"/>
      </left>
      <right/>
      <top/>
      <bottom/>
      <diagonal/>
    </border>
    <border>
      <left/>
      <right style="thin">
        <color rgb="00BFBFBF"/>
      </right>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center"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3" fillId="5" borderId="1" applyAlignment="1" pivotButton="0" quotePrefix="0" xfId="0">
      <alignment horizontal="left" vertical="center" wrapText="1"/>
    </xf>
    <xf numFmtId="0" fontId="6" fillId="3" borderId="1" applyAlignment="1" pivotButton="0" quotePrefix="0" xfId="0">
      <alignment horizontal="left" vertical="top" wrapText="1"/>
    </xf>
    <xf numFmtId="0" fontId="7" fillId="2" borderId="1" applyAlignment="1" pivotButton="0" quotePrefix="0" xfId="0">
      <alignment horizontal="center" vertical="center" wrapText="1"/>
    </xf>
    <xf numFmtId="0" fontId="5" fillId="6" borderId="1" applyAlignment="1" pivotButton="0" quotePrefix="0" xfId="0">
      <alignment horizontal="left" vertical="top" wrapText="1"/>
    </xf>
    <xf numFmtId="0" fontId="0" fillId="0" borderId="4" pivotButton="0" quotePrefix="0" xfId="0"/>
    <xf numFmtId="0" fontId="3" fillId="5" borderId="1" applyAlignment="1" pivotButton="0" quotePrefix="0" xfId="0">
      <alignment horizontal="center" vertical="center" wrapText="1"/>
    </xf>
    <xf numFmtId="1" fontId="5" fillId="0" borderId="1" applyAlignment="1" pivotButton="0" quotePrefix="0" xfId="0">
      <alignment horizontal="center" vertical="top" wrapText="1"/>
    </xf>
    <xf numFmtId="164" fontId="5" fillId="6" borderId="1" applyAlignment="1" pivotButton="0" quotePrefix="0" xfId="0">
      <alignment horizontal="center" vertical="top" wrapText="1"/>
    </xf>
    <xf numFmtId="164" fontId="8" fillId="0" borderId="1" applyAlignment="1" pivotButton="0" quotePrefix="0" xfId="0">
      <alignment horizontal="center"/>
    </xf>
    <xf numFmtId="0" fontId="5" fillId="7" borderId="1" applyAlignment="1" pivotButton="0" quotePrefix="0" xfId="0">
      <alignment horizontal="left" vertical="top" wrapText="1"/>
    </xf>
    <xf numFmtId="0" fontId="4" fillId="8" borderId="1" applyAlignment="1" pivotButton="0" quotePrefix="0" xfId="0">
      <alignment horizontal="left" vertical="top" wrapText="1"/>
    </xf>
    <xf numFmtId="1" fontId="9" fillId="8" borderId="1" applyAlignment="1" pivotButton="0" quotePrefix="0" xfId="0">
      <alignment horizontal="center"/>
    </xf>
    <xf numFmtId="0" fontId="5" fillId="8" borderId="1" applyAlignment="1" pivotButton="0" quotePrefix="0" xfId="0">
      <alignment horizontal="left" vertical="top" wrapText="1"/>
    </xf>
    <xf numFmtId="164" fontId="9" fillId="8" borderId="1" applyAlignment="1" pivotButton="0" quotePrefix="0" xfId="0">
      <alignment horizontal="center"/>
    </xf>
    <xf numFmtId="0" fontId="2" fillId="8" borderId="1" applyAlignment="1" pivotButton="0" quotePrefix="0" xfId="0">
      <alignment horizontal="left" vertical="top" wrapText="1"/>
    </xf>
    <xf numFmtId="0" fontId="4" fillId="9" borderId="1" applyAlignment="1" pivotButton="0" quotePrefix="0" xfId="0">
      <alignment horizontal="left" vertical="top" wrapText="1"/>
    </xf>
    <xf numFmtId="164" fontId="9" fillId="9" borderId="1" applyAlignment="1" pivotButton="0" quotePrefix="0" xfId="0">
      <alignment horizontal="center"/>
    </xf>
    <xf numFmtId="0" fontId="2" fillId="9" borderId="1" applyAlignment="1" pivotButton="0" quotePrefix="0" xfId="0">
      <alignment horizontal="left" vertical="top" wrapText="1"/>
    </xf>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7"/>
  <sheetViews>
    <sheetView showGridLines="0" workbookViewId="0">
      <selection activeCell="A1" sqref="A1"/>
    </sheetView>
  </sheetViews>
  <sheetFormatPr baseColWidth="8" defaultRowHeight="15"/>
  <cols>
    <col width="6" customWidth="1" min="1" max="1"/>
    <col width="30" customWidth="1" min="2" max="2"/>
    <col width="10" customWidth="1" min="3" max="3"/>
    <col width="38" customWidth="1" min="4" max="4"/>
    <col width="38" customWidth="1" min="5" max="5"/>
    <col width="38" customWidth="1" min="6" max="6"/>
  </cols>
  <sheetData>
    <row r="1">
      <c r="A1" s="1" t="inlineStr">
        <is>
          <t>IT8204 Blockchain and Cryptocurrency - Week 5: Bahrain's Crypto-asset Rulebook, Chapter by Chapter  |  The Central Bank Sandbox Pathway, and Bahrain's Licensed Firms</t>
        </is>
      </c>
      <c r="B1" s="25" t="n"/>
      <c r="C1" s="25" t="n"/>
      <c r="D1" s="25" t="n"/>
      <c r="E1" s="25" t="n"/>
      <c r="F1" s="11" t="n"/>
    </row>
    <row r="2" ht="48" customHeight="1">
      <c r="A2" s="2" t="inlineStr">
        <is>
          <t>Marking rubric for your worksheet. You are scored 0-5 on each criterion (decimals allowed). Mark % = score x 20; your overall mark is the weighted average of the criteria, shown as a score out of 100. This worksheet contributes its weighted share to the A2 coursework total; the course result is decided on the overall course mark.</t>
        </is>
      </c>
      <c r="B2" s="25" t="n"/>
      <c r="C2" s="25" t="n"/>
      <c r="D2" s="25" t="n"/>
      <c r="E2" s="25" t="n"/>
      <c r="F2" s="11" t="n"/>
    </row>
    <row r="4">
      <c r="A4" s="3" t="inlineStr">
        <is>
          <t>Score</t>
        </is>
      </c>
      <c r="B4" s="3" t="inlineStr">
        <is>
          <t>Level</t>
        </is>
      </c>
      <c r="C4" s="11" t="n"/>
      <c r="D4" s="3" t="inlineStr">
        <is>
          <t>What it means</t>
        </is>
      </c>
      <c r="E4" s="3" t="inlineStr">
        <is>
          <t xml:space="preserve"> </t>
        </is>
      </c>
      <c r="F4" s="3" t="inlineStr">
        <is>
          <t xml:space="preserve"> </t>
        </is>
      </c>
    </row>
    <row r="5">
      <c r="A5" s="4" t="inlineStr">
        <is>
          <t>0</t>
        </is>
      </c>
      <c r="B5" s="5" t="inlineStr">
        <is>
          <t>Missing</t>
        </is>
      </c>
      <c r="C5" s="11" t="n"/>
      <c r="D5" s="6" t="inlineStr">
        <is>
          <t>No evidence / not attempted.</t>
        </is>
      </c>
      <c r="E5" s="25" t="n"/>
      <c r="F5" s="11" t="n"/>
    </row>
    <row r="6">
      <c r="A6" s="4" t="inlineStr">
        <is>
          <t>1</t>
        </is>
      </c>
      <c r="B6" s="5" t="inlineStr">
        <is>
          <t>Limited</t>
        </is>
      </c>
      <c r="C6" s="11" t="n"/>
      <c r="D6" s="6" t="inlineStr">
        <is>
          <t>Attempted but cannot give a basic explanation; mostly incorrect.</t>
        </is>
      </c>
      <c r="E6" s="25" t="n"/>
      <c r="F6" s="11" t="n"/>
    </row>
    <row r="7">
      <c r="A7" s="4" t="inlineStr">
        <is>
          <t>2</t>
        </is>
      </c>
      <c r="B7" s="5" t="inlineStr">
        <is>
          <t>Basic</t>
        </is>
      </c>
      <c r="C7" s="11" t="n"/>
      <c r="D7" s="6" t="inlineStr">
        <is>
          <t>Below expectation; major gaps.</t>
        </is>
      </c>
      <c r="E7" s="25" t="n"/>
      <c r="F7" s="11" t="n"/>
    </row>
    <row r="8">
      <c r="A8" s="4" t="inlineStr">
        <is>
          <t>3</t>
        </is>
      </c>
      <c r="B8" s="5" t="inlineStr">
        <is>
          <t>Reasonable</t>
        </is>
      </c>
      <c r="C8" s="11" t="n"/>
      <c r="D8" s="6" t="inlineStr">
        <is>
          <t>Meets the task; major enhancement still possible.</t>
        </is>
      </c>
      <c r="E8" s="25" t="n"/>
      <c r="F8" s="11" t="n"/>
    </row>
    <row r="9">
      <c r="A9" s="4" t="inlineStr">
        <is>
          <t>4</t>
        </is>
      </c>
      <c r="B9" s="5" t="inlineStr">
        <is>
          <t>Very Good</t>
        </is>
      </c>
      <c r="C9" s="11" t="n"/>
      <c r="D9" s="6" t="inlineStr">
        <is>
          <t>Minor enhancement only; valid and well justified.</t>
        </is>
      </c>
      <c r="E9" s="25" t="n"/>
      <c r="F9" s="11" t="n"/>
    </row>
    <row r="10">
      <c r="A10" s="4" t="inlineStr">
        <is>
          <t>5</t>
        </is>
      </c>
      <c r="B10" s="5" t="inlineStr">
        <is>
          <t>Excellent</t>
        </is>
      </c>
      <c r="C10" s="11" t="n"/>
      <c r="D10" s="6" t="inlineStr">
        <is>
          <t>Fully meets the task: every required part present, correct and specific.</t>
        </is>
      </c>
      <c r="E10" s="25" t="n"/>
      <c r="F10" s="11" t="n"/>
    </row>
    <row r="12">
      <c r="A12" s="7" t="inlineStr">
        <is>
          <t>#</t>
        </is>
      </c>
      <c r="B12" s="7" t="inlineStr">
        <is>
          <t>Criterion</t>
        </is>
      </c>
      <c r="C12" s="7" t="inlineStr">
        <is>
          <t>Weight</t>
        </is>
      </c>
      <c r="D12" s="7" t="inlineStr">
        <is>
          <t>What 'Excellent' (5) looks like</t>
        </is>
      </c>
      <c r="E12" s="7" t="inlineStr">
        <is>
          <t>What 'Reasonable' (3) looks like</t>
        </is>
      </c>
      <c r="F12" s="7" t="inlineStr">
        <is>
          <t>What 'Limited' or 'Basic' (1-2) looks like</t>
        </is>
      </c>
    </row>
    <row r="13" ht="99" customHeight="1">
      <c r="A13" s="4" t="inlineStr">
        <is>
          <t>C1</t>
        </is>
      </c>
      <c r="B13" s="6" t="inlineStr">
        <is>
          <t>S1 T2 Individual build task
Session 1 worksheet, Task 2: name the Crypto-asset Module (CRA) chapter that governs fair treatment of retail customers and risk disclosure, and state its requirement.</t>
        </is>
      </c>
      <c r="C13" s="4" t="inlineStr">
        <is>
          <t>13%</t>
        </is>
      </c>
      <c r="D13" s="6" t="inlineStr">
        <is>
          <t>Names the correct chapter. States its requirement in your own words at chapter level: what the licensee must do, and for whom.</t>
        </is>
      </c>
      <c r="E13" s="6" t="inlineStr">
        <is>
          <t>Names the correct chapter, but the requirement is copied, too narrow, or only partly explained.</t>
        </is>
      </c>
      <c r="F13" s="6" t="inlineStr">
        <is>
          <t>The wrong chapter, or no chapter named.</t>
        </is>
      </c>
    </row>
    <row r="14" ht="86" customHeight="1">
      <c r="A14" s="4" t="inlineStr">
        <is>
          <t>C2</t>
        </is>
      </c>
      <c r="B14" s="6" t="inlineStr">
        <is>
          <t>S2 T2 Individual build task
Session 2 worksheet, Task 2: the five sandbox pathway steps, in order, for a Bahraini exchange seeking a Category 4 licence.</t>
        </is>
      </c>
      <c r="C14" s="4" t="inlineStr">
        <is>
          <t>13%</t>
        </is>
      </c>
      <c r="D14" s="6" t="inlineStr">
        <is>
          <t>All five steps are named in the correct order, one line each, for this exchange.</t>
        </is>
      </c>
      <c r="E14" s="6" t="inlineStr">
        <is>
          <t>All five steps are listed, but one or two are out of order.</t>
        </is>
      </c>
      <c r="F14" s="6" t="inlineStr">
        <is>
          <t>Fewer than five steps, or the order is mostly wrong.</t>
        </is>
      </c>
    </row>
    <row r="15" ht="86" customHeight="1">
      <c r="A15" s="4" t="inlineStr">
        <is>
          <t>C3</t>
        </is>
      </c>
      <c r="B15" s="6" t="inlineStr">
        <is>
          <t>S1 T3 Group-activity product (own write-up)
Session 1 worksheet, Task 3: annotate the sample product, Dilmun Wallet, against the CRA chapters.</t>
        </is>
      </c>
      <c r="C15" s="4" t="inlineStr">
        <is>
          <t>13%</t>
        </is>
      </c>
      <c r="D15" s="6" t="inlineStr">
        <is>
          <t>Every requirement in the product description is tagged to the chapter that governs it. The least intuitive obligation is named with a reason, and licence needs are flagged.</t>
        </is>
      </c>
      <c r="E15" s="6" t="inlineStr">
        <is>
          <t>Most requirements are tagged correctly, but some are missing, or the least intuitive obligation has no reason.</t>
        </is>
      </c>
      <c r="F15" s="6" t="inlineStr">
        <is>
          <t>Few requirements are tagged, most tags are wrong, or no licence needs are flagged.</t>
        </is>
      </c>
    </row>
    <row r="16" ht="86" customHeight="1">
      <c r="A16" s="4" t="inlineStr">
        <is>
          <t>C4</t>
        </is>
      </c>
      <c r="B16" s="6" t="inlineStr">
        <is>
          <t>S2 T3 Group-activity product (own write-up)
Session 2 worksheet, Task 3: map the Category 4 licence application to the CRA chapters.</t>
        </is>
      </c>
      <c r="C16" s="4" t="inlineStr">
        <is>
          <t>13%</t>
        </is>
      </c>
      <c r="D16" s="6" t="inlineStr">
        <is>
          <t>The pathway is sequenced, the application is mapped to the governing chapters, and the entry point is stated. Three highest-risk obligations are named, each with a reason.</t>
        </is>
      </c>
      <c r="E16" s="6" t="inlineStr">
        <is>
          <t>The map is mostly complete, but the risk ranking is not justified or the entry point is missing.</t>
        </is>
      </c>
      <c r="F16" s="6" t="inlineStr">
        <is>
          <t>The map is incomplete or the chapters are mostly wrong. Obligations are listed without any ranking.</t>
        </is>
      </c>
    </row>
    <row r="17" ht="151" customHeight="1">
      <c r="A17" s="4" t="inlineStr">
        <is>
          <t>C5</t>
        </is>
      </c>
      <c r="B17" s="6" t="inlineStr">
        <is>
          <t>T1 Reading comprehension (both sessions)
Task 1 in both worksheets. Session 1 asks which chapters cover custody and the anti-money laundering (AML) Travel Rule, and which obligations are highest-risk. Session 2 asks where an exchange enters the pathway and which licence category fits.</t>
        </is>
      </c>
      <c r="C17" s="4" t="inlineStr">
        <is>
          <t>16%</t>
        </is>
      </c>
      <c r="D17" s="6" t="inlineStr">
        <is>
          <t>Every question is answered in two or three sentences, in your own words. Each answer is correct and explains why, not only what.</t>
        </is>
      </c>
      <c r="E17" s="6" t="inlineStr">
        <is>
          <t>All questions are answered and broadly correct. Some answers are one line, repeat the reading, or skip the reason.</t>
        </is>
      </c>
      <c r="F17" s="6" t="inlineStr">
        <is>
          <t>Several questions are missing or wrong, or the answers are copied from the reading.</t>
        </is>
      </c>
    </row>
    <row r="18" ht="84" customHeight="1">
      <c r="A18" s="4" t="inlineStr">
        <is>
          <t>C6</t>
        </is>
      </c>
      <c r="B18" s="6" t="inlineStr">
        <is>
          <t>T4 Analysis / evaluation at NQF L8
Across the week: judging which obligations carry the most risk, and why.</t>
        </is>
      </c>
      <c r="C18" s="4" t="inlineStr">
        <is>
          <t>14%</t>
        </is>
      </c>
      <c r="D18" s="6" t="inlineStr">
        <is>
          <t>Ranks obligations and explains the ranking by consequence or difficulty, rather than simply listing them.</t>
        </is>
      </c>
      <c r="E18" s="6" t="inlineStr">
        <is>
          <t>Some judgement is shown, but the answers mostly describe, or reasons are stated without support.</t>
        </is>
      </c>
      <c r="F18" s="6" t="inlineStr">
        <is>
          <t>Description only, or opinions given with no reasons.</t>
        </is>
      </c>
    </row>
    <row r="19" ht="84" customHeight="1">
      <c r="A19" s="4" t="inlineStr">
        <is>
          <t>C7</t>
        </is>
      </c>
      <c r="B19" s="6" t="inlineStr">
        <is>
          <t>T5 Bahrain / GCC grounding
Across the week: accurate use of Bahrain's rules.</t>
        </is>
      </c>
      <c r="C19" s="4" t="inlineStr">
        <is>
          <t>10%</t>
        </is>
      </c>
      <c r="D19" s="6" t="inlineStr">
        <is>
          <t>Refers to the Central Bank of Bahrain (CBB) rules accurately at chapter level and applies them to the Bahraini exchange or product in the task.</t>
        </is>
      </c>
      <c r="E19" s="6" t="inlineStr">
        <is>
          <t>A correct Bahrain or GCC reference is made, but it could be removed without changing the answer.</t>
        </is>
      </c>
      <c r="F19" s="6" t="inlineStr">
        <is>
          <t>No Bahraini rules used, rules misnamed, or another country's rules presented as Bahrain's.</t>
        </is>
      </c>
    </row>
    <row r="20" ht="86" customHeight="1">
      <c r="A20" s="4" t="inlineStr">
        <is>
          <t>C8</t>
        </is>
      </c>
      <c r="B20" s="6" t="inlineStr">
        <is>
          <t>T6 Communication and academic conduct
Both worksheets: how clear your writing is, the length of each answer, your sources, and submission.</t>
        </is>
      </c>
      <c r="C20" s="4" t="inlineStr">
        <is>
          <t>8%</t>
        </is>
      </c>
      <c r="D20" s="6" t="inlineStr">
        <is>
          <t>Both worksheets are submitted. Answers are clear, plain and close to the expected length for each task. Every source you used is listed in Task 4. Listing is what is marked; APA 7th style is advised, not marked.</t>
        </is>
      </c>
      <c r="E20" s="6" t="inlineStr">
        <is>
          <t>Both worksheets are submitted and can be understood. Some answers are far too long or too short, or a source is missing.</t>
        </is>
      </c>
      <c r="F20" s="6" t="inlineStr">
        <is>
          <t>A worksheet is missing, answers are hard to follow, or sources were used but not listed.</t>
        </is>
      </c>
    </row>
    <row r="22">
      <c r="A22" s="3" t="inlineStr">
        <is>
          <t>Worked exemplar - what a good answer contains</t>
        </is>
      </c>
      <c r="B22" s="25" t="n"/>
      <c r="C22" s="25" t="n"/>
      <c r="D22" s="25" t="n"/>
      <c r="E22" s="25" t="n"/>
      <c r="F22" s="11" t="n"/>
    </row>
    <row r="23" ht="44" customHeight="1">
      <c r="A23" s="8" t="inlineStr">
        <is>
          <t>A good answer names the chapter and its scope in plain words, as in the staking worked example, which traced one product to CRA-2, CRA-7, CRA-8 and CRA-12.</t>
        </is>
      </c>
      <c r="B23" s="25" t="n"/>
      <c r="C23" s="25" t="n"/>
      <c r="D23" s="25" t="n"/>
      <c r="E23" s="25" t="n"/>
      <c r="F23" s="11" t="n"/>
    </row>
    <row r="25" ht="30" customHeight="1">
      <c r="A25" s="8" t="inlineStr">
        <is>
          <t>This week's evidence is judged on reasoning and the individual written products from both sessions.</t>
        </is>
      </c>
      <c r="B25" s="25" t="n"/>
      <c r="C25" s="25" t="n"/>
      <c r="D25" s="25" t="n"/>
      <c r="E25" s="25" t="n"/>
      <c r="F25" s="11" t="n"/>
    </row>
    <row r="27" ht="28" customHeight="1">
      <c r="A27" s="2" t="inlineStr">
        <is>
          <t>This worksheet contributes its weighted share to the A2 coursework total; the course result is decided on the overall course mark.</t>
        </is>
      </c>
      <c r="B27" s="25" t="n"/>
      <c r="C27" s="25" t="n"/>
      <c r="D27" s="25" t="n"/>
      <c r="E27" s="25" t="n"/>
      <c r="F27" s="11" t="n"/>
    </row>
  </sheetData>
  <mergeCells count="19">
    <mergeCell ref="B7:C7"/>
    <mergeCell ref="A27:F27"/>
    <mergeCell ref="D7:F7"/>
    <mergeCell ref="A2:F2"/>
    <mergeCell ref="A23:F23"/>
    <mergeCell ref="D9:F9"/>
    <mergeCell ref="A22:F22"/>
    <mergeCell ref="D8:F8"/>
    <mergeCell ref="B8:C8"/>
    <mergeCell ref="D5:F5"/>
    <mergeCell ref="B10:C10"/>
    <mergeCell ref="B9:C9"/>
    <mergeCell ref="D10:F10"/>
    <mergeCell ref="B6:C6"/>
    <mergeCell ref="B5:C5"/>
    <mergeCell ref="A1:F1"/>
    <mergeCell ref="D6:F6"/>
    <mergeCell ref="B4:C4"/>
    <mergeCell ref="A25:F25"/>
  </mergeCells>
  <pageMargins left="0.4" right="0.4"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23"/>
  <sheetViews>
    <sheetView showGridLines="0" workbookViewId="0">
      <selection activeCell="A1" sqref="A1"/>
    </sheetView>
  </sheetViews>
  <sheetFormatPr baseColWidth="8" defaultRowHeight="15"/>
  <cols>
    <col width="26" customWidth="1" min="1" max="1"/>
    <col width="10" customWidth="1" min="2" max="2"/>
    <col width="12" customWidth="1" min="3" max="3"/>
    <col width="16" customWidth="1" min="4" max="4"/>
    <col width="52" customWidth="1" min="5" max="5"/>
  </cols>
  <sheetData>
    <row r="1">
      <c r="A1" s="9" t="inlineStr">
        <is>
          <t>IT8204 Blockchain and Cryptocurrency - Week 5: Bahrain's Crypto-asset Rulebook, Chapter by Chapter  |  The Central Bank Sandbox Pathway, and Bahrain's Licensed Firms - MARKING SHEET</t>
        </is>
      </c>
      <c r="B1" s="25" t="n"/>
      <c r="C1" s="25" t="n"/>
      <c r="D1" s="25" t="n"/>
      <c r="E1" s="11" t="n"/>
    </row>
    <row r="2"/>
    <row r="3">
      <c r="A3" s="5" t="inlineStr">
        <is>
          <t>Student name:</t>
        </is>
      </c>
      <c r="B3" s="10" t="inlineStr">
        <is>
          <t>Meqdad Muhana</t>
        </is>
      </c>
      <c r="C3" s="11" t="n"/>
    </row>
    <row r="4">
      <c r="A4" s="5" t="inlineStr">
        <is>
          <t>Student ID:</t>
        </is>
      </c>
      <c r="B4" s="10" t="inlineStr">
        <is>
          <t>202306213</t>
        </is>
      </c>
      <c r="C4" s="11" t="n"/>
    </row>
    <row r="5">
      <c r="A5" s="5" t="inlineStr">
        <is>
          <t>Date:</t>
        </is>
      </c>
      <c r="B5" s="10" t="inlineStr">
        <is>
          <t>2026-10-18</t>
        </is>
      </c>
      <c r="D5" s="5" t="inlineStr">
        <is>
          <t>Marker:</t>
        </is>
      </c>
      <c r="E5" s="10" t="inlineStr">
        <is>
          <t>B. Bukhowa</t>
        </is>
      </c>
    </row>
    <row r="6"/>
    <row r="7">
      <c r="A7" s="7" t="inlineStr">
        <is>
          <t>Criterion</t>
        </is>
      </c>
      <c r="B7" s="12" t="inlineStr">
        <is>
          <t>Weight %</t>
        </is>
      </c>
      <c r="C7" s="12" t="inlineStr">
        <is>
          <t>Score (0-5)</t>
        </is>
      </c>
      <c r="D7" s="12" t="inlineStr">
        <is>
          <t>Weighted</t>
        </is>
      </c>
      <c r="E7" s="7" t="inlineStr">
        <is>
          <t>Comment (cite the screenshot / page)</t>
        </is>
      </c>
    </row>
    <row r="8" ht="186" customHeight="1">
      <c r="A8" s="5" t="inlineStr">
        <is>
          <t>S1 T2 Individual build task</t>
        </is>
      </c>
      <c r="B8" s="13" t="n">
        <v>13</v>
      </c>
      <c r="C8" s="14" t="n">
        <v>5</v>
      </c>
      <c r="D8" s="15">
        <f>(C8/5)*B8</f>
        <v/>
      </c>
      <c r="E8" s="16" t="inlineStr">
        <is>
          <t>Your Session 1 Task 2 answer names CRA-12, Conduct of Business, and explains in your own words what it requires: licensed firms must act honestly, fairly and transparently toward retail customers, who lack professional risk teams, with clear communications, and must prominently disclose all material risks before selling. Your list of risks, from price volatility and total loss to third-party lending and downtime, makes the requirement concrete. Fairness, disclosure and who is protected are all covered. To improve further, you could note that CRA-4.5.8 also sets out risk disclosure before the first transaction.</t>
        </is>
      </c>
    </row>
    <row r="9" ht="171" customHeight="1">
      <c r="A9" s="5" t="inlineStr">
        <is>
          <t>S2 T2 Individual build task</t>
        </is>
      </c>
      <c r="B9" s="13" t="n">
        <v>13</v>
      </c>
      <c r="C9" s="14" t="n">
        <v>5</v>
      </c>
      <c r="D9" s="15">
        <f>(C9/5)*B9</f>
        <v/>
      </c>
      <c r="E9" s="16" t="inlineStr">
        <is>
          <t>Your Session 2 Task 2 sequence gives five steps in the right order, one line each: eligibility, applying with the business plan to the CBB FinTech and Innovation unit, testing under customer limits, volume caps and reporting, evaluation against CRA-7 and CRA-8, and exit. Every line is worded for this exchange and its matching engine, and the exit line ties the outcome to a full Category 4 licence, an extension or a halt. This is exactly what the task asked for. To improve further, you could give a typical length for the test period.</t>
        </is>
      </c>
    </row>
    <row r="10" ht="186" customHeight="1">
      <c r="A10" s="5" t="inlineStr">
        <is>
          <t>S1 T3 Group-activity product (own write-up)</t>
        </is>
      </c>
      <c r="B10" s="13" t="n">
        <v>13</v>
      </c>
      <c r="C10" s="14" t="n">
        <v>5</v>
      </c>
      <c r="D10" s="15">
        <f>(C10/5)*B10</f>
        <v/>
      </c>
      <c r="E10" s="16" t="inlineStr">
        <is>
          <t>Your Dilmun Wallet annotation is excellent. You work through all nine paragraphs, tie each to chapters that genuinely govern it, and name the wrong assumptions, such as the mixed treasury wallets in paragraph 3 and the self-hosted wallet gap in paragraph 4. Your licence flags are specific: Category 2 and Category 3 for phase one, Category 4 for internal matching and CRA-15 approval for the token. Your least intuitive choice, paragraph 7, has a strong reason, that the CBB regulates by economic function, not by technical label. To improve further, you could add CRA-5 for the outage in paragraph 8.</t>
        </is>
      </c>
    </row>
    <row r="11" ht="201" customHeight="1">
      <c r="A11" s="5" t="inlineStr">
        <is>
          <t>S2 T3 Group-activity product (own write-up)</t>
        </is>
      </c>
      <c r="B11" s="13" t="n">
        <v>13</v>
      </c>
      <c r="C11" s="14" t="n">
        <v>4.5</v>
      </c>
      <c r="D11" s="15">
        <f>(C11/5)*B11</f>
        <v/>
      </c>
      <c r="E11" s="16" t="inlineStr">
        <is>
          <t>Your Session 2 Task 3 map is clear and well argued. You state that the project enters at the eligibility check, map the application to CRA-1 and CRA-2 for the Category 4 structure, CRA-7, CRA-8 and CRA-12, and justify each of your three highest-risk obligations by consequence, such as the irreversible nature of blockchain making a custody failure a total loss. However, your Task 3 sequence of the pathway stops at the Test and Evaluate phases and does not say how the exchange exits to a Category 4 licence, an extension or a stop, although your Task 2 covers this. To improve further, you could add CRA-13 on market abuse.</t>
        </is>
      </c>
    </row>
    <row r="12" ht="186" customHeight="1">
      <c r="A12" s="5" t="inlineStr">
        <is>
          <t>T1 Reading comprehension (both sessions)</t>
        </is>
      </c>
      <c r="B12" s="13" t="n">
        <v>16</v>
      </c>
      <c r="C12" s="14" t="n">
        <v>5</v>
      </c>
      <c r="D12" s="15">
        <f>(C12/5)*B12</f>
        <v/>
      </c>
      <c r="E12" s="16" t="inlineStr">
        <is>
          <t>All six reading answers are correct, in your own words, and each explains why. You name CRA-8 and explain that segregation protects customers if the custodian is breached or fails, name CRA-7 and explain that pseudonymous addresses need identity records to trace illicit money, and rank custody, AML and conduct by consequence and difficulty. In Session 2 you place entry at the eligibility check, justify Category 4 as the only category for an order-matching venue, and give a clear reason for each of your three risks. To improve further, you could cite CRA-1.1.15 for the exchange category.</t>
        </is>
      </c>
    </row>
    <row r="13" ht="186" customHeight="1">
      <c r="A13" s="5" t="inlineStr">
        <is>
          <t>T4 Analysis / evaluation at NQF L8</t>
        </is>
      </c>
      <c r="B13" s="13" t="n">
        <v>14</v>
      </c>
      <c r="C13" s="14" t="n">
        <v>5</v>
      </c>
      <c r="D13" s="15">
        <f>(C13/5)*B13</f>
        <v/>
      </c>
      <c r="E13" s="16" t="inlineStr">
        <is>
          <t>Your judgement is consistent and well supported. In Session 1 Q3, Session 2 Q3 and both Task 3 write-ups you rank custody, AML and conduct and explain each by consequence or difficulty: custody first because commingled wallets mean immediate total loss in bankruptcy, AML second because identity data across pseudonymous networks is hard to manage and failure brings licence revocation, and conduct third because retail users face unwarned losses. Tying each ranking to a Dilmun paragraph shows joined-up thinking. To improve further, you could say what new fact would change your order.</t>
        </is>
      </c>
    </row>
    <row r="14" ht="156" customHeight="1">
      <c r="A14" s="5" t="inlineStr">
        <is>
          <t>T5 Bahrain / GCC grounding</t>
        </is>
      </c>
      <c r="B14" s="13" t="n">
        <v>10</v>
      </c>
      <c r="C14" s="14" t="n">
        <v>5</v>
      </c>
      <c r="D14" s="15">
        <f>(C14/5)*B14</f>
        <v/>
      </c>
      <c r="E14" s="16" t="inlineStr">
        <is>
          <t>You use the Central Bank of Bahrain rules accurately and apply them closely to both cases. For Dilmun Wallet each of the nine paragraphs is tied to its chapter with the specific breach, and you work out which licence categories phase one and phase two would need. For the Bahraini exchange you map onboarding, monitoring, custody and disclosures to the right chapters and link the Category 4 structure to CRA-1 and CRA-2. To improve further, you could add the Category 4 minimum capital of BD 300,000 under CRA-3.</t>
        </is>
      </c>
    </row>
    <row r="15" ht="171" customHeight="1">
      <c r="A15" s="5" t="inlineStr">
        <is>
          <t>T6 Communication and academic conduct</t>
        </is>
      </c>
      <c r="B15" s="13" t="n">
        <v>8</v>
      </c>
      <c r="C15" s="14" t="n">
        <v>5</v>
      </c>
      <c r="D15" s="15">
        <f>(C15/5)*B15</f>
        <v/>
      </c>
      <c r="E15" s="16" t="inlineStr">
        <is>
          <t>Both worksheets are submitted, your answers are clear and well organised, and each task sits within a reasonable length. Your Dilmun Wallet write-up is long, at about 660 words, but it stays within a sensible size for nine paragraphs of analysis. Task 4 is filled in on both sheets, listing the course extract, visual reading, opener and sample product, the Module CRA chapters and the CBB Sandbox pages, so a reader can check every point. To improve further, you could break your longest paragraphs into one paragraph per Dilmun feature to make them easier to scan.</t>
        </is>
      </c>
    </row>
    <row r="16">
      <c r="A16" s="17" t="inlineStr">
        <is>
          <t>TOTAL</t>
        </is>
      </c>
      <c r="B16" s="18">
        <f>SUM(B8:B15)</f>
        <v/>
      </c>
      <c r="C16" s="19" t="inlineStr"/>
      <c r="D16" s="20">
        <f>SUM(D8:D15)</f>
        <v/>
      </c>
      <c r="E16" s="21" t="inlineStr">
        <is>
          <t>Weights sum to 100; max weighted = 100.</t>
        </is>
      </c>
    </row>
    <row r="17">
      <c r="A17" s="22" t="inlineStr">
        <is>
          <t>Overall mark (out of 100)</t>
        </is>
      </c>
      <c r="B17" s="23">
        <f>D16</f>
        <v/>
      </c>
      <c r="C17" s="24" t="inlineStr">
        <is>
          <t>Weighted average of the criteria, out of 100. This worksheet contributes its weighted share to the A2 coursework total; the course result is decided on the overall course mark.</t>
        </is>
      </c>
      <c r="D17" s="25" t="n"/>
      <c r="E17" s="11" t="n"/>
    </row>
    <row r="18"/>
    <row r="19">
      <c r="A19" s="3" t="inlineStr">
        <is>
          <t>Overall feedback to the student</t>
        </is>
      </c>
      <c r="B19" s="25" t="n"/>
      <c r="C19" s="25" t="n"/>
      <c r="D19" s="25" t="n"/>
      <c r="E19" s="11" t="n"/>
    </row>
    <row r="20" ht="32" customHeight="1">
      <c r="A20" s="33" t="inlineStr">
        <is>
          <t>This is an excellent Week 5 submission. Your Dilmun Wallet map works through all nine paragraphs, names each wrong assumption, and sets out which licence categories each phase needs, and your reason for finding internal order matching least intuitive, that the CBB regulates by economic function, is genuine insight. Your pathway is complete and worded for the exchange, and your rankings are explained by consequence and difficulty in every place. The one small gap is that your Session 2 Task 3 sequence of the pathway stops at testing and evaluation without saying how the exchange exits. For the coming weeks, make sure each written answer can stand alone with every part of the task, even when another task already covers it, and keep checking each rule claim against the Rulebook copy.</t>
        </is>
      </c>
      <c r="B20" s="26" t="n"/>
      <c r="C20" s="26" t="n"/>
      <c r="D20" s="26" t="n"/>
      <c r="E20" s="27" t="n"/>
    </row>
    <row r="21" ht="32" customHeight="1">
      <c r="A21" s="28" t="n"/>
      <c r="E21" s="29" t="n"/>
    </row>
    <row r="22" ht="32" customHeight="1">
      <c r="A22" s="28" t="n"/>
      <c r="E22" s="29" t="n"/>
    </row>
    <row r="23" ht="32" customHeight="1">
      <c r="A23" s="30" t="n"/>
      <c r="B23" s="31" t="n"/>
      <c r="C23" s="31" t="n"/>
      <c r="D23" s="31" t="n"/>
      <c r="E23" s="32" t="n"/>
    </row>
  </sheetData>
  <mergeCells count="6">
    <mergeCell ref="B3:C3"/>
    <mergeCell ref="A20:E23"/>
    <mergeCell ref="A19:E19"/>
    <mergeCell ref="A1:E1"/>
    <mergeCell ref="C17:E17"/>
    <mergeCell ref="B4:C4"/>
  </mergeCells>
  <pageMargins left="0.4" right="0.4"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bp-worksheet-mark config (JSON) - do not edit or unhide</t>
        </is>
      </c>
    </row>
    <row r="2">
      <c r="A2" t="inlineStr">
        <is>
          <t>{"course": "IT8204", "session": "Week 5", "topic": "Bahrain's Crypto-asset Rulebook, Chapter by Chapter  |  The Central Bank Sandbox Pathway, and Bahrain's Licensed Firms", "marking_sheet": "IT8204 Week 5 Marking Sheet v1.xlsx", "marking_tab": "Marking", "scale": "0-5 (decimals)", "pass_score": 3.0, "pct_formula": "score x 20", "total_model": "weighted_capped", "max_score": 5, "total_out_of": 100, "weight_sum": 100, "input_cells": {"student_name": "B3", "student_id": "B4", "date": "B5", "marker": "E5", "scores": ["C8", "C9", "C10", "C11", "C12", "C13", "C14", "C15"], "comments": ["E8", "E9", "E10", "E11", "E12", "E13", "E14", "E15"]}, "criteria": [{"row": 8, "name": "S1 T2 Individual build task", "weight": 13, "keywords": ["individual", "build", "task", "session", "worksheet", "name", "crypto-asset", "module", "chapter", "governs", "fair", "treatment", "retail", "customers"]}, {"row": 9, "name": "S2 T2 Individual build task", "weight": 13, "keywords": ["individual", "build", "task", "session", "worksheet", "five", "sandbox", "pathway", "steps", "order", "bahraini", "exchange", "seeking", "category"]}, {"row": 10, "name": "S1 T3 Group-activity product (own write-up)", "weight": 13, "keywords": ["group-activity", "product", "write-up", "session", "worksheet", "task", "annotate", "sample", "dilmun", "wallet", "against", "chapters"]}, {"row": 11, "name": "S2 T3 Group-activity product (own write-up)", "weight": 13, "keywords": ["group-activity", "product", "write-up", "session", "worksheet", "task", "category", "licence", "application", "chapters"]}, {"row": 12, "name": "T1 Reading comprehension (both sessions)", "weight": 16, "keywords": ["reading", "comprehension", "sessions", "task", "worksheets", "session", "asks", "which", "chapters", "cover", "custody", "anti-money", "laundering", "travel"]}, {"row": 13, "name": "T4 Analysis / evaluation at NQF L8", "weight": 14, "keywords": ["analysis", "evaluation", "across", "week", "judging", "which", "obligations", "carry", "most", "risk"]}, {"row": 14, "name": "T5 Bahrain / GCC grounding", "weight": 10, "keywords": ["bahrain", "grounding", "across", "week", "accurate", "rules"]}, {"row": 15, "name": "T6 Communication and academic conduct", "weight": 8, "keywords": ["communication", "academic", "conduct", "worksheets", "clear", "writing", "length", "answer", "sources", "submission"]}], "overall_pct_cell": "B17", "gates": [], "gate_rule": "For each lab: student ID in the submitted evidence AND the required completion screenshot; if either fails, that lab's evidence contributes 0 and is flagged."}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2026-10-03T06:07:41Z</dcterms:created>
  <dcterms:modified xmlns:dcterms="http://purl.org/dc/terms/" xmlns:xsi="http://www.w3.org/2001/XMLSchema-instance" xsi:type="dcterms:W3CDTF">2026-10-18T06:22:00Z</dcterms:modified>
</cp:coreProperties>
</file>