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tudents)" sheetId="1" state="visible" r:id="rId1"/>
    <sheet xmlns:r="http://schemas.openxmlformats.org/officeDocument/2006/relationships" name="Marking" sheetId="2" state="visible" r:id="rId2"/>
    <sheet xmlns:r="http://schemas.openxmlformats.org/officeDocument/2006/relationships" name="_config" sheetId="3" state="hidden" r:id="rId3"/>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4"/>
    </font>
    <font>
      <name val="Arial"/>
      <i val="1"/>
      <color rgb="00000000"/>
      <sz val="9"/>
    </font>
    <font>
      <name val="Arial"/>
      <b val="1"/>
      <color rgb="00FFFFFF"/>
      <sz val="11"/>
    </font>
    <font>
      <name val="Arial"/>
      <b val="1"/>
      <color rgb="00000000"/>
      <sz val="10"/>
    </font>
    <font>
      <name val="Arial"/>
      <color rgb="00000000"/>
      <sz val="10"/>
    </font>
    <font>
      <name val="Arial"/>
      <color rgb="00000000"/>
      <sz val="9"/>
    </font>
    <font>
      <name val="Arial"/>
      <b val="1"/>
      <color rgb="00FFFFFF"/>
      <sz val="13"/>
    </font>
    <font>
      <name val="Arial"/>
      <sz val="10"/>
    </font>
    <font>
      <name val="Arial"/>
      <b val="1"/>
    </font>
  </fonts>
  <fills count="10">
    <fill>
      <patternFill/>
    </fill>
    <fill>
      <patternFill patternType="gray125"/>
    </fill>
    <fill>
      <patternFill patternType="solid">
        <fgColor rgb="001F3864"/>
      </patternFill>
    </fill>
    <fill>
      <patternFill patternType="solid">
        <fgColor rgb="00EAF1F8"/>
      </patternFill>
    </fill>
    <fill>
      <patternFill patternType="solid">
        <fgColor rgb="002E75B6"/>
      </patternFill>
    </fill>
    <fill>
      <patternFill patternType="solid">
        <fgColor rgb="00127D7A"/>
      </patternFill>
    </fill>
    <fill>
      <patternFill patternType="solid">
        <fgColor rgb="00FFF2CC"/>
      </patternFill>
    </fill>
    <fill>
      <patternFill patternType="solid">
        <fgColor rgb="00FFFFFF"/>
      </patternFill>
    </fill>
    <fill>
      <patternFill patternType="solid">
        <fgColor rgb="00DCE6F2"/>
      </patternFill>
    </fill>
    <fill>
      <patternFill patternType="solid">
        <fgColor rgb="00E2EFDA"/>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5" borderId="1" applyAlignment="1" pivotButton="0" quotePrefix="0" xfId="0">
      <alignment horizontal="left" vertical="center" wrapText="1"/>
    </xf>
    <xf numFmtId="0" fontId="6" fillId="3" borderId="1" applyAlignment="1" pivotButton="0" quotePrefix="0" xfId="0">
      <alignment horizontal="left" vertical="top" wrapText="1"/>
    </xf>
    <xf numFmtId="0" fontId="7" fillId="2" borderId="1" applyAlignment="1" pivotButton="0" quotePrefix="0" xfId="0">
      <alignment horizontal="center" vertical="center" wrapText="1"/>
    </xf>
    <xf numFmtId="0" fontId="5" fillId="6" borderId="1" applyAlignment="1" pivotButton="0" quotePrefix="0" xfId="0">
      <alignment horizontal="left" vertical="top" wrapText="1"/>
    </xf>
    <xf numFmtId="0" fontId="0" fillId="0" borderId="4" pivotButton="0" quotePrefix="0" xfId="0"/>
    <xf numFmtId="0" fontId="3" fillId="5" borderId="1" applyAlignment="1" pivotButton="0" quotePrefix="0" xfId="0">
      <alignment horizontal="center" vertical="center" wrapText="1"/>
    </xf>
    <xf numFmtId="1" fontId="5" fillId="0" borderId="1" applyAlignment="1" pivotButton="0" quotePrefix="0" xfId="0">
      <alignment horizontal="center" vertical="top" wrapText="1"/>
    </xf>
    <xf numFmtId="164" fontId="5" fillId="6" borderId="1" applyAlignment="1" pivotButton="0" quotePrefix="0" xfId="0">
      <alignment horizontal="center" vertical="top" wrapText="1"/>
    </xf>
    <xf numFmtId="164" fontId="8" fillId="0" borderId="1" applyAlignment="1" pivotButton="0" quotePrefix="0" xfId="0">
      <alignment horizontal="center"/>
    </xf>
    <xf numFmtId="0" fontId="5" fillId="7" borderId="1" applyAlignment="1" pivotButton="0" quotePrefix="0" xfId="0">
      <alignment horizontal="left" vertical="top" wrapText="1"/>
    </xf>
    <xf numFmtId="0" fontId="4" fillId="8" borderId="1" applyAlignment="1" pivotButton="0" quotePrefix="0" xfId="0">
      <alignment horizontal="left" vertical="top" wrapText="1"/>
    </xf>
    <xf numFmtId="1" fontId="9" fillId="8" borderId="1" applyAlignment="1" pivotButton="0" quotePrefix="0" xfId="0">
      <alignment horizontal="center"/>
    </xf>
    <xf numFmtId="0" fontId="5" fillId="8" borderId="1" applyAlignment="1" pivotButton="0" quotePrefix="0" xfId="0">
      <alignment horizontal="left" vertical="top" wrapText="1"/>
    </xf>
    <xf numFmtId="164" fontId="9" fillId="8" borderId="1" applyAlignment="1" pivotButton="0" quotePrefix="0" xfId="0">
      <alignment horizontal="center"/>
    </xf>
    <xf numFmtId="0" fontId="2" fillId="8" borderId="1" applyAlignment="1" pivotButton="0" quotePrefix="0" xfId="0">
      <alignment horizontal="left" vertical="top" wrapText="1"/>
    </xf>
    <xf numFmtId="0" fontId="4" fillId="9" borderId="1" applyAlignment="1" pivotButton="0" quotePrefix="0" xfId="0">
      <alignment horizontal="left" vertical="top" wrapText="1"/>
    </xf>
    <xf numFmtId="164" fontId="9" fillId="9" borderId="1" applyAlignment="1" pivotButton="0" quotePrefix="0" xfId="0">
      <alignment horizontal="center"/>
    </xf>
    <xf numFmtId="0" fontId="2" fillId="9" borderId="1" applyAlignment="1" pivotButton="0" quotePrefix="0" xfId="0">
      <alignment horizontal="left" vertical="top" wrapText="1"/>
    </xf>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workbookViewId="0">
      <selection activeCell="A1" sqref="A1"/>
    </sheetView>
  </sheetViews>
  <sheetFormatPr baseColWidth="8" defaultRowHeight="15"/>
  <cols>
    <col width="6" customWidth="1" min="1" max="1"/>
    <col width="30" customWidth="1" min="2" max="2"/>
    <col width="10" customWidth="1" min="3" max="3"/>
    <col width="38" customWidth="1" min="4" max="4"/>
    <col width="38" customWidth="1" min="5" max="5"/>
    <col width="38" customWidth="1" min="6" max="6"/>
  </cols>
  <sheetData>
    <row r="1">
      <c r="A1" s="1" t="inlineStr">
        <is>
          <t>IT8204 Blockchain and Cryptocurrency - Week 2: How Blockchain Produces Integrity  |  Permissioned vs Permissionless: the Ledger Choice</t>
        </is>
      </c>
      <c r="B1" s="25" t="n"/>
      <c r="C1" s="25" t="n"/>
      <c r="D1" s="25" t="n"/>
      <c r="E1" s="25" t="n"/>
      <c r="F1" s="11" t="n"/>
    </row>
    <row r="2" ht="48" customHeight="1">
      <c r="A2" s="2" t="inlineStr">
        <is>
          <t>Marking rubric for your worksheet. You are scored 0-5 on each criterion (decimals allowed). Mark % = score x 20; your overall mark is the weighted average of the criteria, shown as a score out of 100. This worksheet contributes its weighted share to the A2 coursework total; the course result is decided on the overall course mark.</t>
        </is>
      </c>
      <c r="B2" s="25" t="n"/>
      <c r="C2" s="25" t="n"/>
      <c r="D2" s="25" t="n"/>
      <c r="E2" s="25" t="n"/>
      <c r="F2" s="11" t="n"/>
    </row>
    <row r="4">
      <c r="A4" s="3" t="inlineStr">
        <is>
          <t>Score</t>
        </is>
      </c>
      <c r="B4" s="3" t="inlineStr">
        <is>
          <t>Level</t>
        </is>
      </c>
      <c r="C4" s="11" t="n"/>
      <c r="D4" s="3" t="inlineStr">
        <is>
          <t>What it means</t>
        </is>
      </c>
      <c r="E4" s="3" t="inlineStr">
        <is>
          <t xml:space="preserve"> </t>
        </is>
      </c>
      <c r="F4" s="3" t="inlineStr">
        <is>
          <t xml:space="preserve"> </t>
        </is>
      </c>
    </row>
    <row r="5">
      <c r="A5" s="4" t="inlineStr">
        <is>
          <t>0</t>
        </is>
      </c>
      <c r="B5" s="5" t="inlineStr">
        <is>
          <t>Missing</t>
        </is>
      </c>
      <c r="C5" s="11" t="n"/>
      <c r="D5" s="6" t="inlineStr">
        <is>
          <t>No evidence / not attempted.</t>
        </is>
      </c>
      <c r="E5" s="25" t="n"/>
      <c r="F5" s="11" t="n"/>
    </row>
    <row r="6">
      <c r="A6" s="4" t="inlineStr">
        <is>
          <t>1</t>
        </is>
      </c>
      <c r="B6" s="5" t="inlineStr">
        <is>
          <t>Limited</t>
        </is>
      </c>
      <c r="C6" s="11" t="n"/>
      <c r="D6" s="6" t="inlineStr">
        <is>
          <t>Attempted but cannot give a basic explanation; mostly incorrect.</t>
        </is>
      </c>
      <c r="E6" s="25" t="n"/>
      <c r="F6" s="11" t="n"/>
    </row>
    <row r="7">
      <c r="A7" s="4" t="inlineStr">
        <is>
          <t>2</t>
        </is>
      </c>
      <c r="B7" s="5" t="inlineStr">
        <is>
          <t>Basic</t>
        </is>
      </c>
      <c r="C7" s="11" t="n"/>
      <c r="D7" s="6" t="inlineStr">
        <is>
          <t>Below expectation; major gaps.</t>
        </is>
      </c>
      <c r="E7" s="25" t="n"/>
      <c r="F7" s="11" t="n"/>
    </row>
    <row r="8">
      <c r="A8" s="4" t="inlineStr">
        <is>
          <t>3</t>
        </is>
      </c>
      <c r="B8" s="5" t="inlineStr">
        <is>
          <t>Reasonable</t>
        </is>
      </c>
      <c r="C8" s="11" t="n"/>
      <c r="D8" s="6" t="inlineStr">
        <is>
          <t>Meets the task; major enhancement still possible.</t>
        </is>
      </c>
      <c r="E8" s="25" t="n"/>
      <c r="F8" s="11" t="n"/>
    </row>
    <row r="9">
      <c r="A9" s="4" t="inlineStr">
        <is>
          <t>4</t>
        </is>
      </c>
      <c r="B9" s="5" t="inlineStr">
        <is>
          <t>Very Good</t>
        </is>
      </c>
      <c r="C9" s="11" t="n"/>
      <c r="D9" s="6" t="inlineStr">
        <is>
          <t>Minor enhancement only; valid and well justified.</t>
        </is>
      </c>
      <c r="E9" s="25" t="n"/>
      <c r="F9" s="11" t="n"/>
    </row>
    <row r="10">
      <c r="A10" s="4" t="inlineStr">
        <is>
          <t>5</t>
        </is>
      </c>
      <c r="B10" s="5" t="inlineStr">
        <is>
          <t>Excellent</t>
        </is>
      </c>
      <c r="C10" s="11" t="n"/>
      <c r="D10" s="6" t="inlineStr">
        <is>
          <t>Fully meets the task + critical insight / self-reflection.</t>
        </is>
      </c>
      <c r="E10" s="25" t="n"/>
      <c r="F10" s="11" t="n"/>
    </row>
    <row r="12">
      <c r="A12" s="7" t="inlineStr">
        <is>
          <t>#</t>
        </is>
      </c>
      <c r="B12" s="7" t="inlineStr">
        <is>
          <t>Criterion</t>
        </is>
      </c>
      <c r="C12" s="7" t="inlineStr">
        <is>
          <t>Weight</t>
        </is>
      </c>
      <c r="D12" s="7" t="inlineStr">
        <is>
          <t>What 'Excellent' (5) looks like</t>
        </is>
      </c>
      <c r="E12" s="7" t="inlineStr">
        <is>
          <t>What 'Reasonable' (3) looks like</t>
        </is>
      </c>
      <c r="F12" s="7" t="inlineStr">
        <is>
          <t>What 'Limited' or 'Basic' (1-2) looks like</t>
        </is>
      </c>
    </row>
    <row r="13" ht="164" customHeight="1">
      <c r="A13" s="4" t="inlineStr">
        <is>
          <t>C1</t>
        </is>
      </c>
      <c r="B13" s="6" t="inlineStr">
        <is>
          <t>S1 T2 Individual build task
Session 1 build task: A Bahraini land-registry office notarises a property record and anchors its hash on a blockchain. A year later, someone alters the stored record. What does the hash prove about this alteration - and what does it NOT prove (for example, about whether the original record was correct, or who made the change)?.</t>
        </is>
      </c>
      <c r="C13" s="4" t="inlineStr">
        <is>
          <t>13%</t>
        </is>
      </c>
      <c r="D13" s="6" t="inlineStr">
        <is>
          <t>Completed accurately and fully for session 1, with correct reasoning.</t>
        </is>
      </c>
      <c r="E13" s="6" t="inlineStr">
        <is>
          <t>Completed with the main idea correct, though some detail or justification is missing.</t>
        </is>
      </c>
      <c r="F13" s="6" t="inlineStr">
        <is>
          <t>Limited (1): attempted, but cannot give a basic explanation; mostly incorrect. Basic (2): below expectation; major gaps.</t>
        </is>
      </c>
    </row>
    <row r="14" ht="151" customHeight="1">
      <c r="A14" s="4" t="inlineStr">
        <is>
          <t>C2</t>
        </is>
      </c>
      <c r="B14" s="6" t="inlineStr">
        <is>
          <t>S2 T2 Individual build task
Session 2 build task: A GCC central-bank pilot lets a small group of known central banks and commercial banks settle payments between themselves on a shared ledger. Which consensus family fits this use case (PoW, PoS, BFT or PoA)? Name the family and give ONE reason tied to the four-criterion rubric.</t>
        </is>
      </c>
      <c r="C14" s="4" t="inlineStr">
        <is>
          <t>13%</t>
        </is>
      </c>
      <c r="D14" s="6" t="inlineStr">
        <is>
          <t>Completed accurately and fully for session 2, with correct reasoning.</t>
        </is>
      </c>
      <c r="E14" s="6" t="inlineStr">
        <is>
          <t>Completed with the main idea correct, though some detail or justification is missing.</t>
        </is>
      </c>
      <c r="F14" s="6" t="inlineStr">
        <is>
          <t>Limited (1): attempted, but cannot give a basic explanation; mostly incorrect. Basic (2): below expectation; major gaps.</t>
        </is>
      </c>
    </row>
    <row r="15" ht="86" customHeight="1">
      <c r="A15" s="4" t="inlineStr">
        <is>
          <t>C3</t>
        </is>
      </c>
      <c r="B15" s="6" t="inlineStr">
        <is>
          <t>S1 T3 Group-activity product (own write-up)
Session 1 group activity: Trace the transaction. Own product, on task and evidenced.</t>
        </is>
      </c>
      <c r="C15" s="4" t="inlineStr">
        <is>
          <t>13%</t>
        </is>
      </c>
      <c r="D15" s="6" t="inlineStr">
        <is>
          <t>A complete, well-evidenced individual product that fully meets the session 1 brief.</t>
        </is>
      </c>
      <c r="E15" s="6" t="inlineStr">
        <is>
          <t>An individual product that meets the brief, with some gaps in evidence or completeness.</t>
        </is>
      </c>
      <c r="F15" s="6" t="inlineStr">
        <is>
          <t>Limited (1): attempted, but cannot give a basic explanation; mostly incorrect. Basic (2): below expectation; major gaps.</t>
        </is>
      </c>
    </row>
    <row r="16" ht="86" customHeight="1">
      <c r="A16" s="4" t="inlineStr">
        <is>
          <t>C4</t>
        </is>
      </c>
      <c r="B16" s="6" t="inlineStr">
        <is>
          <t>S2 T3 Group-activity product (own write-up)
Session 2 group activity: Defend the platform choice. Own product, on task and evidenced.</t>
        </is>
      </c>
      <c r="C16" s="4" t="inlineStr">
        <is>
          <t>13%</t>
        </is>
      </c>
      <c r="D16" s="6" t="inlineStr">
        <is>
          <t>A complete, well-evidenced individual product that fully meets the session 2 brief.</t>
        </is>
      </c>
      <c r="E16" s="6" t="inlineStr">
        <is>
          <t>An individual product that meets the brief, with some gaps in evidence or completeness.</t>
        </is>
      </c>
      <c r="F16" s="6" t="inlineStr">
        <is>
          <t>Limited (1): attempted, but cannot give a basic explanation; mostly incorrect. Basic (2): below expectation; major gaps.</t>
        </is>
      </c>
    </row>
    <row r="17" ht="112" customHeight="1">
      <c r="A17" s="4" t="inlineStr">
        <is>
          <t>C5</t>
        </is>
      </c>
      <c r="B17" s="6" t="inlineStr">
        <is>
          <t>T1 Reading comprehension (both sessions)
Answers the guiding questions for How Blockchain Produces Integrity and Permissioned vs Permissionless: the Ledger Choice, showing grasp of each core idea.</t>
        </is>
      </c>
      <c r="C17" s="4" t="inlineStr">
        <is>
          <t>16%</t>
        </is>
      </c>
      <c r="D17" s="6" t="inlineStr">
        <is>
          <t>All guiding questions across both sessions answered correctly in the student's own words.</t>
        </is>
      </c>
      <c r="E17" s="6" t="inlineStr">
        <is>
          <t>Questions answered and broadly correct, though one session is thin or loosely explained.</t>
        </is>
      </c>
      <c r="F17" s="6" t="inlineStr">
        <is>
          <t>Limited (1): attempted, but cannot give a basic explanation; mostly incorrect. Basic (2): below expectation; major gaps.</t>
        </is>
      </c>
    </row>
    <row r="18" ht="84" customHeight="1">
      <c r="A18" s="4" t="inlineStr">
        <is>
          <t>C6</t>
        </is>
      </c>
      <c r="B18" s="6" t="inlineStr">
        <is>
          <t>T4 Analysis / evaluation at NQF L8
Argues, analyses or evaluates across the week - not just describes; reasoning is defensible.</t>
        </is>
      </c>
      <c r="C18" s="4" t="inlineStr">
        <is>
          <t>14%</t>
        </is>
      </c>
      <c r="D18" s="6" t="inlineStr">
        <is>
          <t>A clear, defensible analysis or evaluation with reasons, showing L8-level judgement.</t>
        </is>
      </c>
      <c r="E18" s="6" t="inlineStr">
        <is>
          <t>Some analysis present, but leans toward description or asserts without full justification.</t>
        </is>
      </c>
      <c r="F18" s="6" t="inlineStr">
        <is>
          <t>Limited (1): attempted, but cannot give a basic explanation; mostly incorrect. Basic (2): below expectation; major gaps.</t>
        </is>
      </c>
    </row>
    <row r="19" ht="84" customHeight="1">
      <c r="A19" s="4" t="inlineStr">
        <is>
          <t>C7</t>
        </is>
      </c>
      <c r="B19" s="6" t="inlineStr">
        <is>
          <t>T5 Bahrain / GCC grounding
Uses an accurate Bahrain or GCC anchor relevant to the week's tasks.</t>
        </is>
      </c>
      <c r="C19" s="4" t="inlineStr">
        <is>
          <t>10%</t>
        </is>
      </c>
      <c r="D19" s="6" t="inlineStr">
        <is>
          <t>A relevant Bahrain or GCC anchor used accurately and woven into the argument.</t>
        </is>
      </c>
      <c r="E19" s="6" t="inlineStr">
        <is>
          <t>An anchor mentioned and broadly correct, if loosely connected.</t>
        </is>
      </c>
      <c r="F19" s="6" t="inlineStr">
        <is>
          <t>Limited (1): attempted, but cannot give a basic explanation; mostly incorrect. Basic (2): below expectation; major gaps.</t>
        </is>
      </c>
    </row>
    <row r="20" ht="86" customHeight="1">
      <c r="A20" s="4" t="inlineStr">
        <is>
          <t>C8</t>
        </is>
      </c>
      <c r="B20" s="6" t="inlineStr">
        <is>
          <t>T6 Communication and academic conduct
Clear, plain, in scope; both weekly worksheets submitted; sources listed.</t>
        </is>
      </c>
      <c r="C20" s="4" t="inlineStr">
        <is>
          <t>8%</t>
        </is>
      </c>
      <c r="D20" s="6" t="inlineStr">
        <is>
          <t>Clear, plain and well organised; within scope; both weekly worksheets present; sources listed.</t>
        </is>
      </c>
      <c r="E20" s="6" t="inlineStr">
        <is>
          <t>Understandable overall; both weekly worksheets present; most sources listed.</t>
        </is>
      </c>
      <c r="F20" s="6" t="inlineStr">
        <is>
          <t>Limited (1): attempted, but cannot give a basic explanation; mostly incorrect. Basic (2): below expectation; major gaps.</t>
        </is>
      </c>
    </row>
    <row r="22">
      <c r="A22" s="3" t="inlineStr">
        <is>
          <t>Worked exemplar - what a good answer contains</t>
        </is>
      </c>
      <c r="B22" s="25" t="n"/>
      <c r="C22" s="25" t="n"/>
      <c r="D22" s="25" t="n"/>
      <c r="E22" s="25" t="n"/>
      <c r="F22" s="11" t="n"/>
    </row>
    <row r="23" ht="44" customHeight="1">
      <c r="A23" s="8" t="inlineStr">
        <is>
          <t>A good answer keeps the two sides apart, as the bank-auditor worked example does. Hashing shows that the records have not changed since they were written. Whether those records were correct in the first place, and whether they stay private, need other controls.</t>
        </is>
      </c>
      <c r="B23" s="25" t="n"/>
      <c r="C23" s="25" t="n"/>
      <c r="D23" s="25" t="n"/>
      <c r="E23" s="25" t="n"/>
      <c r="F23" s="11" t="n"/>
    </row>
    <row r="25" ht="30" customHeight="1">
      <c r="A25" s="8" t="inlineStr">
        <is>
          <t>This week's evidence is judged on reasoning and the individual written products from both sessions.</t>
        </is>
      </c>
      <c r="B25" s="25" t="n"/>
      <c r="C25" s="25" t="n"/>
      <c r="D25" s="25" t="n"/>
      <c r="E25" s="25" t="n"/>
      <c r="F25" s="11" t="n"/>
    </row>
    <row r="27" ht="28" customHeight="1">
      <c r="A27" s="2" t="inlineStr">
        <is>
          <t>This worksheet contributes its weighted share to the A2 coursework total; the course result is decided on the overall course mark.</t>
        </is>
      </c>
      <c r="B27" s="25" t="n"/>
      <c r="C27" s="25" t="n"/>
      <c r="D27" s="25" t="n"/>
      <c r="E27" s="25" t="n"/>
      <c r="F27" s="11" t="n"/>
    </row>
  </sheetData>
  <mergeCells count="19">
    <mergeCell ref="B7:C7"/>
    <mergeCell ref="A27:F27"/>
    <mergeCell ref="D7:F7"/>
    <mergeCell ref="A2:F2"/>
    <mergeCell ref="A23:F23"/>
    <mergeCell ref="D9:F9"/>
    <mergeCell ref="A22:F22"/>
    <mergeCell ref="D8:F8"/>
    <mergeCell ref="B8:C8"/>
    <mergeCell ref="D5:F5"/>
    <mergeCell ref="B10:C10"/>
    <mergeCell ref="B9:C9"/>
    <mergeCell ref="D10:F10"/>
    <mergeCell ref="B6:C6"/>
    <mergeCell ref="B5:C5"/>
    <mergeCell ref="A1:F1"/>
    <mergeCell ref="D6:F6"/>
    <mergeCell ref="B4:C4"/>
    <mergeCell ref="A25:F25"/>
  </mergeCells>
  <pageMargins left="0.4" right="0.4"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23"/>
  <sheetViews>
    <sheetView showGridLines="0" workbookViewId="0">
      <selection activeCell="A1" sqref="A1"/>
    </sheetView>
  </sheetViews>
  <sheetFormatPr baseColWidth="8" defaultRowHeight="15"/>
  <cols>
    <col width="26" customWidth="1" min="1" max="1"/>
    <col width="10" customWidth="1" min="2" max="2"/>
    <col width="12" customWidth="1" min="3" max="3"/>
    <col width="16" customWidth="1" min="4" max="4"/>
    <col width="52" customWidth="1" min="5" max="5"/>
  </cols>
  <sheetData>
    <row r="1">
      <c r="A1" s="9" t="inlineStr">
        <is>
          <t>IT8204 Blockchain and Cryptocurrency - Week 2: How Blockchain Produces Integrity  |  Permissioned vs Permissionless: the Ledger Choice - MARKING SHEET</t>
        </is>
      </c>
      <c r="B1" s="25" t="n"/>
      <c r="C1" s="25" t="n"/>
      <c r="D1" s="25" t="n"/>
      <c r="E1" s="11" t="n"/>
    </row>
    <row r="3">
      <c r="A3" s="5" t="inlineStr">
        <is>
          <t>Student name:</t>
        </is>
      </c>
      <c r="B3" s="10" t="inlineStr">
        <is>
          <t>Meqdad Muhana</t>
        </is>
      </c>
      <c r="C3" s="11" t="n"/>
    </row>
    <row r="4">
      <c r="A4" s="5" t="inlineStr">
        <is>
          <t>Student ID:</t>
        </is>
      </c>
      <c r="B4" s="10" t="inlineStr">
        <is>
          <t>202306213</t>
        </is>
      </c>
      <c r="C4" s="11" t="n"/>
    </row>
    <row r="5">
      <c r="A5" s="5" t="inlineStr">
        <is>
          <t>Date:</t>
        </is>
      </c>
      <c r="B5" s="10" t="inlineStr">
        <is>
          <t>2026-09-26</t>
        </is>
      </c>
      <c r="D5" s="5" t="inlineStr">
        <is>
          <t>Marker:</t>
        </is>
      </c>
      <c r="E5" s="10" t="inlineStr">
        <is>
          <t>B. Bukhowa</t>
        </is>
      </c>
    </row>
    <row r="7">
      <c r="A7" s="7" t="inlineStr">
        <is>
          <t>Criterion</t>
        </is>
      </c>
      <c r="B7" s="12" t="inlineStr">
        <is>
          <t>Weight %</t>
        </is>
      </c>
      <c r="C7" s="12" t="inlineStr">
        <is>
          <t>Score (0-5)</t>
        </is>
      </c>
      <c r="D7" s="12" t="inlineStr">
        <is>
          <t>Weighted</t>
        </is>
      </c>
      <c r="E7" s="7" t="inlineStr">
        <is>
          <t>Comment (cite the screenshot / page)</t>
        </is>
      </c>
    </row>
    <row r="8" ht="186" customHeight="1">
      <c r="A8" s="5" t="inlineStr">
        <is>
          <t>S1 T2 Individual build task</t>
        </is>
      </c>
      <c r="B8" s="13" t="n">
        <v>13</v>
      </c>
      <c r="C8" s="14" t="n">
        <v>4.5</v>
      </c>
      <c r="D8" s="15">
        <f>(C8/5)*B8</f>
        <v/>
      </c>
      <c r="E8" s="16" t="inlineStr">
        <is>
          <t>On the Session 1 build task (land-registry hash): you explain clearly that the altered record produces a different fingerprint from the anchored hash, which proves it has been changed since notarising. You name the key limits: the hash does not show who made the change, cannot restore the original data, and cannot show that the original was accurate. Your closing point, that the blockchain relies on trusted institutions off the chain for accuracy at the start, is real insight. However, you do not name the specific controls the office would use, such as access logs or signed edits.</t>
        </is>
      </c>
    </row>
    <row r="9" ht="156" customHeight="1">
      <c r="A9" s="5" t="inlineStr">
        <is>
          <t>S2 T2 Individual build task</t>
        </is>
      </c>
      <c r="B9" s="13" t="n">
        <v>13</v>
      </c>
      <c r="C9" s="14" t="n">
        <v>4.5</v>
      </c>
      <c r="D9" s="15">
        <f>(C9/5)*B9</f>
        <v/>
      </c>
      <c r="E9" s="16" t="inlineStr">
        <is>
          <t>On the Session 2 build task (GCC central-bank pilot): you choose BFT and tie it clearly to throughput, explaining that rapid voting rounds among identified participants handle the speed and volume of interbank settlement that proof of work cannot. You also honestly name the cost, that power is concentrated in a few nodes. However, you compare BFT only with proof of work, not with proof of authority, which is the real alternative for a closed group of named central and commercial banks.</t>
        </is>
      </c>
    </row>
    <row r="10" ht="171" customHeight="1">
      <c r="A10" s="5" t="inlineStr">
        <is>
          <t>S1 T3 Group-activity product (own write-up)</t>
        </is>
      </c>
      <c r="B10" s="13" t="n">
        <v>13</v>
      </c>
      <c r="C10" s="14" t="n">
        <v>4</v>
      </c>
      <c r="D10" s="15">
        <f>(C10/5)*B10</f>
        <v/>
      </c>
      <c r="E10" s="16" t="inlineStr">
        <is>
          <t>On the Session 1 group activity (trace the transaction): your five-step trace is clear and correct, and your last paragraph adds a strong limit, that the chain cannot prove the business agreement behind a transfer was fulfilled. You also attach an Etherscan screenshot of a real transaction. However, your written trace never refers to that transaction, its block, its confirmations or its sender, so the evidence and the explanation stay separate. Your broadcast step also covers only the new block, not the first broadcast of the signed transaction by the sender.</t>
        </is>
      </c>
    </row>
    <row r="11" ht="186" customHeight="1">
      <c r="A11" s="5" t="inlineStr">
        <is>
          <t>S2 T3 Group-activity product (own write-up)</t>
        </is>
      </c>
      <c r="B11" s="13" t="n">
        <v>13</v>
      </c>
      <c r="C11" s="14" t="n">
        <v>4.5</v>
      </c>
      <c r="D11" s="15">
        <f>(C11/5)*B11</f>
        <v/>
      </c>
      <c r="E11" s="16" t="inlineStr">
        <is>
          <t>On the Session 2 group activity (defend the platform choice): this is a strong defence. Your table is accurate across all four families, and you compare a Bitcoin block with a Fabric transaction, noting the miner reward against private channels, endorsements and no native coin. You walk through all four criteria for a tokenised sukuk and name regulation as the decider with a reason. However, the CBB Crypto-asset Module mainly governs licensed crypto-asset service providers, so applying it directly to a bank issuing sukuk needed more care, and the use case is the one the reading supplied.</t>
        </is>
      </c>
    </row>
    <row r="12" ht="171" customHeight="1">
      <c r="A12" s="5" t="inlineStr">
        <is>
          <t>T1 Reading comprehension (both sessions)</t>
        </is>
      </c>
      <c r="B12" s="13" t="n">
        <v>16</v>
      </c>
      <c r="C12" s="14" t="n">
        <v>4.5</v>
      </c>
      <c r="D12" s="15">
        <f>(C12/5)*B12</f>
        <v/>
      </c>
      <c r="E12" s="16" t="inlineStr">
        <is>
          <t>On the reading comprehension across both sessions: all six answers are correct, precise and in your own words. Your Session 1 Q2 goes beyond the extract by noting that a signature cannot show whether a transaction was made under pressure or with a stolen key, and your Session 1 Q3 explains the problem of false data entered at the start. However, your Session 2 Q1 gives a general reason for choosing a permissioned ledger, issuing a financial product, rather than naming a specific case where a public network would genuinely serve the bank better.</t>
        </is>
      </c>
    </row>
    <row r="13" ht="171" customHeight="1">
      <c r="A13" s="5" t="inlineStr">
        <is>
          <t>T4 Analysis / evaluation at NQF L8</t>
        </is>
      </c>
      <c r="B13" s="13" t="n">
        <v>14</v>
      </c>
      <c r="C13" s="14" t="n">
        <v>4.5</v>
      </c>
      <c r="D13" s="15">
        <f>(C13/5)*B13</f>
        <v/>
      </c>
      <c r="E13" s="16" t="inlineStr">
        <is>
          <t>On analysis and evaluation across the week: you weigh choices throughout, naming the costs of your own recommendations, such as the power BFT gives a few nodes, and the limits of on-chain evidence for off-chain agreements. However, your evaluative language is sometimes formulaic, with repeated phrases about weighing the evidence and alternatives mentioned where no real alternative is examined. Your strongest analysis comes from testing a choice against a specific objection, as you do when you explain why anonymous validators cannot be held legally accountable.</t>
        </is>
      </c>
    </row>
    <row r="14" ht="156" customHeight="1">
      <c r="A14" s="5" t="inlineStr">
        <is>
          <t>T5 Bahrain / GCC grounding</t>
        </is>
      </c>
      <c r="B14" s="13" t="n">
        <v>10</v>
      </c>
      <c r="C14" s="14" t="n">
        <v>4</v>
      </c>
      <c r="D14" s="15">
        <f>(C14/5)*B14</f>
        <v/>
      </c>
      <c r="E14" s="16" t="inlineStr">
        <is>
          <t>On Bahrain and GCC grounding: you name the Central Bank of Bahrain throughout, and you bring in the CBB Crypto-asset Module of 2019 to support regulation as the deciding criterion, which shows you looked for local regulatory evidence. However, that module is aimed mainly at licensed crypto-asset businesses rather than banks issuing tokenised sukuk, so the link needed explaining, and your Bahraini use case is the one the reading supplied rather than one you developed yourself.</t>
        </is>
      </c>
    </row>
    <row r="15" ht="171" customHeight="1">
      <c r="A15" s="5" t="inlineStr">
        <is>
          <t>T6 Communication and academic conduct</t>
        </is>
      </c>
      <c r="B15" s="13" t="n">
        <v>8</v>
      </c>
      <c r="C15" s="14" t="n">
        <v>4</v>
      </c>
      <c r="D15" s="15">
        <f>(C15/5)*B15</f>
        <v/>
      </c>
      <c r="E15" s="16" t="inlineStr">
        <is>
          <t>On communication and academic conduct: both worksheets are complete and well organised, and your writing is clear and fluent. You list the structured extract, the course slides, Drescher, the EU Blockchain Observatory and the Etherscan record you used. However, your Session 2 source list names the Session 1 structured extract, which is the wrong reading for that session, and you do not cite the CBB Crypto-asset Module that your defence relies on. A claim built on a regulation should always name that regulation as a source.</t>
        </is>
      </c>
    </row>
    <row r="16">
      <c r="A16" s="17" t="inlineStr">
        <is>
          <t>TOTAL</t>
        </is>
      </c>
      <c r="B16" s="18">
        <f>SUM(B8:B15)</f>
        <v/>
      </c>
      <c r="C16" s="19" t="inlineStr"/>
      <c r="D16" s="20">
        <f>SUM(D8:D15)</f>
        <v/>
      </c>
      <c r="E16" s="21" t="inlineStr">
        <is>
          <t>Weights sum to 100; max weighted = 100.</t>
        </is>
      </c>
    </row>
    <row r="17">
      <c r="A17" s="22" t="inlineStr">
        <is>
          <t>Overall mark (out of 100)</t>
        </is>
      </c>
      <c r="B17" s="23">
        <f>D16</f>
        <v/>
      </c>
      <c r="C17" s="24" t="inlineStr">
        <is>
          <t>Weighted average of the criteria, out of 100. This worksheet contributes its weighted share to the A2 coursework total; the course result is decided on the overall course mark.</t>
        </is>
      </c>
      <c r="D17" s="25" t="n"/>
      <c r="E17" s="11" t="n"/>
    </row>
    <row r="19">
      <c r="A19" s="3" t="inlineStr">
        <is>
          <t>Overall feedback to the student</t>
        </is>
      </c>
      <c r="B19" s="25" t="n"/>
      <c r="C19" s="25" t="n"/>
      <c r="D19" s="25" t="n"/>
      <c r="E19" s="11" t="n"/>
    </row>
    <row r="20" ht="36" customHeight="1">
      <c r="A20" s="33" t="inlineStr">
        <is>
          <t>This is very good work across both sessions. Your strongest feature is that you name the limits of each technology: the hash cannot restore data or prove the original was accurate, a signature cannot show a transaction was made willingly, and the chain cannot prove the business deal behind a transfer was fulfilled. Your Session 2 defence is also strong, with an accurate table, a Bitcoin and Fabric comparison and a clear deciding criterion supported by a named CBB regulation. What held a few marks back was the link between evidence and argument: your Etherscan screenshot was attached but never used in the trace, and the Crypto-asset Module was applied to a bank without explaining why it fits. For the coming weeks, when you bring in evidence, point to it directly in your answer, for example by naming the block number or the rule, so the reader can see exactly how it supports your claim.</t>
        </is>
      </c>
      <c r="B20" s="26" t="n"/>
      <c r="C20" s="26" t="n"/>
      <c r="D20" s="26" t="n"/>
      <c r="E20" s="27" t="n"/>
    </row>
    <row r="21" ht="36" customHeight="1">
      <c r="A21" s="28" t="n"/>
      <c r="E21" s="29" t="n"/>
    </row>
    <row r="22" ht="36" customHeight="1">
      <c r="A22" s="28" t="n"/>
      <c r="E22" s="29" t="n"/>
    </row>
    <row r="23" ht="36" customHeight="1">
      <c r="A23" s="30" t="n"/>
      <c r="B23" s="31" t="n"/>
      <c r="C23" s="31" t="n"/>
      <c r="D23" s="31" t="n"/>
      <c r="E23" s="32" t="n"/>
    </row>
  </sheetData>
  <mergeCells count="6">
    <mergeCell ref="B3:C3"/>
    <mergeCell ref="A20:E23"/>
    <mergeCell ref="A19:E19"/>
    <mergeCell ref="A1:E1"/>
    <mergeCell ref="C17:E17"/>
    <mergeCell ref="B4:C4"/>
  </mergeCells>
  <pageMargins left="0.4" right="0.4"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bp-worksheet-mark config (JSON) - do not edit or unhide</t>
        </is>
      </c>
    </row>
    <row r="2">
      <c r="A2" t="inlineStr">
        <is>
          <t>{"course": "IT8204", "session": "Week 2", "topic": "How Blockchain Produces Integrity  |  Permissioned vs Permissionless: the Ledger Choice", "marking_sheet": "IT8204 Week2 MarkingSheet v1.xlsx", "marking_tab": "Marking", "scale": "0-5 (decimals)", "pass_score": 3.0, "pct_formula": "score x 20", "total_model": "weighted_capped", "max_score": 5, "total_out_of": 100, "weight_sum": 100, "input_cells": {"student_name": "B3", "student_id": "B4", "date": "B5", "marker": "E5", "scores": ["C8", "C9", "C10", "C11", "C12", "C13", "C14", "C15"], "comments": ["E8", "E9", "E10", "E11", "E12", "E13", "E14", "E15"]}, "criteria": [{"row": 8, "name": "S1 T2 Individual build task", "weight": 13, "keywords": ["individual", "build", "task", "session", "bahraini", "land-registry", "office", "notarises", "property", "record", "anchors", "hash", "blockchain", "year"]}, {"row": 9, "name": "S2 T2 Individual build task", "weight": 13, "keywords": ["individual", "build", "task", "session", "central-bank", "pilot", "lets", "small", "group", "known", "central", "banks", "commercial", "settle"]}, {"row": 10, "name": "S1 T3 Group-activity product (own write-up)", "weight": 13, "keywords": ["group-activity", "product", "write-up", "session", "group", "activity", "trace", "transaction", "task", "evidenced"]}, {"row": 11, "name": "S2 T3 Group-activity product (own write-up)", "weight": 13, "keywords": ["group-activity", "product", "write-up", "session", "group", "activity", "defend", "platform", "choice", "task", "evidenced"]}, {"row": 12, "name": "T1 Reading comprehension (both sessions)", "weight": 16, "keywords": ["reading", "comprehension", "sessions", "answers", "guiding", "questions", "blockchain", "produces", "integrity", "permissioned", "permissionless", "ledger", "choice", "grasp"]}, {"row": 13, "name": "T4 Analysis / evaluation at NQF L8", "weight": 14, "keywords": ["analysis", "evaluation", "argues", "analyses", "evaluates", "across", "week", "just", "describes", "reasoning", "defensible"]}, {"row": 14, "name": "T5 Bahrain / GCC grounding", "weight": 10, "keywords": ["bahrain", "grounding", "uses", "accurate", "anchor", "relevant", "week", "tasks"]}, {"row": 15, "name": "T6 Communication and academic conduct", "weight": 8, "keywords": ["communication", "academic", "conduct", "clear", "plain", "scope", "weekly", "worksheets", "submitted", "sources", "listed"]}], "overall_pct_cell": "B17", "gates": [], "gate_rule": "For each lab: student ID in the submitted evidence AND the required completion screenshot; if either fails, that lab's evidence contributes 0 and is flagged."}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2026-09-26T09:35:51Z</dcterms:created>
  <dcterms:modified xmlns:dcterms="http://purl.org/dc/terms/" xmlns:xsi="http://www.w3.org/2001/XMLSchema-instance" xsi:type="dcterms:W3CDTF">2026-09-26T12:17:40Z</dcterms:modified>
</cp:coreProperties>
</file>